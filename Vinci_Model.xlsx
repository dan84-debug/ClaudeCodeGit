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avid Nachman\Downloads\"/>
    </mc:Choice>
  </mc:AlternateContent>
  <xr:revisionPtr revIDLastSave="0" documentId="13_ncr:1_{2E33D011-E097-4999-A532-C674C5F5B010}" xr6:coauthVersionLast="47" xr6:coauthVersionMax="47" xr10:uidLastSave="{00000000-0000-0000-0000-000000000000}"/>
  <bookViews>
    <workbookView xWindow="-110" yWindow="-110" windowWidth="25180" windowHeight="16140" activeTab="3" xr2:uid="{91A6F8B8-745B-4068-B3C5-22F44AE3AAEB}"/>
  </bookViews>
  <sheets>
    <sheet name="Model" sheetId="1" r:id="rId1"/>
    <sheet name="Segment Rev+OPI build" sheetId="2" r:id="rId2"/>
    <sheet name="OrderBook" sheetId="3" r:id="rId3"/>
    <sheet name="SOTP" sheetId="4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" l="1"/>
  <c r="B135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B133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D127" i="4"/>
  <c r="E127" i="4"/>
  <c r="F127" i="4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AG127" i="4" s="1"/>
  <c r="AH127" i="4" s="1"/>
  <c r="AI127" i="4" s="1"/>
  <c r="AJ127" i="4" s="1"/>
  <c r="AK127" i="4" s="1"/>
  <c r="AL127" i="4" s="1"/>
  <c r="AM127" i="4" s="1"/>
  <c r="AN127" i="4" s="1"/>
  <c r="C127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AG126" i="4" s="1"/>
  <c r="AH126" i="4" s="1"/>
  <c r="AI126" i="4" s="1"/>
  <c r="AJ126" i="4" s="1"/>
  <c r="AK126" i="4" s="1"/>
  <c r="AL126" i="4" s="1"/>
  <c r="AM126" i="4" s="1"/>
  <c r="AN126" i="4" s="1"/>
  <c r="I126" i="4"/>
  <c r="B132" i="4"/>
  <c r="B130" i="4"/>
  <c r="B134" i="4" s="1"/>
  <c r="B103" i="4"/>
  <c r="B90" i="4"/>
  <c r="B91" i="4" s="1"/>
  <c r="B77" i="4"/>
  <c r="B116" i="4"/>
  <c r="B118" i="4" s="1"/>
  <c r="C114" i="4"/>
  <c r="C117" i="4" s="1"/>
  <c r="B114" i="4"/>
  <c r="B117" i="4" s="1"/>
  <c r="C111" i="4"/>
  <c r="B104" i="4"/>
  <c r="B102" i="4"/>
  <c r="C100" i="4"/>
  <c r="C103" i="4" s="1"/>
  <c r="B100" i="4"/>
  <c r="C97" i="4"/>
  <c r="D97" i="4" s="1"/>
  <c r="P96" i="4"/>
  <c r="Q96" i="4" s="1"/>
  <c r="R96" i="4" s="1"/>
  <c r="S96" i="4" s="1"/>
  <c r="T96" i="4" s="1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AG96" i="4" s="1"/>
  <c r="AH96" i="4" s="1"/>
  <c r="AI96" i="4" s="1"/>
  <c r="AJ96" i="4" s="1"/>
  <c r="AK96" i="4" s="1"/>
  <c r="AL96" i="4" s="1"/>
  <c r="AM96" i="4" s="1"/>
  <c r="AN96" i="4" s="1"/>
  <c r="AO96" i="4" s="1"/>
  <c r="AP96" i="4" s="1"/>
  <c r="AQ96" i="4" s="1"/>
  <c r="AR96" i="4" s="1"/>
  <c r="AS96" i="4" s="1"/>
  <c r="AT96" i="4" s="1"/>
  <c r="AU96" i="4" s="1"/>
  <c r="AV96" i="4" s="1"/>
  <c r="O96" i="4"/>
  <c r="B89" i="4"/>
  <c r="B87" i="4"/>
  <c r="C84" i="4"/>
  <c r="D84" i="4" s="1"/>
  <c r="E84" i="4" s="1"/>
  <c r="F84" i="4" s="1"/>
  <c r="G84" i="4" s="1"/>
  <c r="H84" i="4" s="1"/>
  <c r="I84" i="4" s="1"/>
  <c r="J84" i="4" s="1"/>
  <c r="K84" i="4" s="1"/>
  <c r="L84" i="4" s="1"/>
  <c r="M84" i="4" s="1"/>
  <c r="N84" i="4" s="1"/>
  <c r="N89" i="4" s="1"/>
  <c r="C75" i="4"/>
  <c r="D75" i="4"/>
  <c r="E75" i="4"/>
  <c r="F75" i="4"/>
  <c r="G75" i="4"/>
  <c r="H75" i="4"/>
  <c r="I75" i="4"/>
  <c r="J75" i="4"/>
  <c r="K75" i="4"/>
  <c r="L75" i="4"/>
  <c r="B75" i="4"/>
  <c r="B76" i="4" s="1"/>
  <c r="O76" i="4"/>
  <c r="B74" i="4"/>
  <c r="C71" i="4"/>
  <c r="D71" i="4" s="1"/>
  <c r="E71" i="4" s="1"/>
  <c r="F71" i="4" s="1"/>
  <c r="G71" i="4" s="1"/>
  <c r="H71" i="4" s="1"/>
  <c r="I71" i="4" s="1"/>
  <c r="J71" i="4" s="1"/>
  <c r="K71" i="4" s="1"/>
  <c r="L71" i="4" s="1"/>
  <c r="D100" i="4" l="1"/>
  <c r="D103" i="4" s="1"/>
  <c r="E97" i="4"/>
  <c r="D102" i="4"/>
  <c r="C102" i="4"/>
  <c r="C104" i="4" s="1"/>
  <c r="C116" i="4"/>
  <c r="C118" i="4" s="1"/>
  <c r="D111" i="4"/>
  <c r="H87" i="4"/>
  <c r="G87" i="4"/>
  <c r="F87" i="4"/>
  <c r="E87" i="4"/>
  <c r="L89" i="4"/>
  <c r="K89" i="4"/>
  <c r="F76" i="4"/>
  <c r="J89" i="4"/>
  <c r="J87" i="4"/>
  <c r="G89" i="4"/>
  <c r="I89" i="4"/>
  <c r="K87" i="4"/>
  <c r="H89" i="4"/>
  <c r="I87" i="4"/>
  <c r="F89" i="4"/>
  <c r="E89" i="4"/>
  <c r="D89" i="4"/>
  <c r="N87" i="4"/>
  <c r="N90" i="4" s="1"/>
  <c r="N91" i="4" s="1"/>
  <c r="C89" i="4"/>
  <c r="M87" i="4"/>
  <c r="M90" i="4" s="1"/>
  <c r="L87" i="4"/>
  <c r="L90" i="4" s="1"/>
  <c r="L91" i="4" s="1"/>
  <c r="M89" i="4"/>
  <c r="D87" i="4"/>
  <c r="C87" i="4"/>
  <c r="L76" i="4"/>
  <c r="E76" i="4"/>
  <c r="D76" i="4"/>
  <c r="C76" i="4"/>
  <c r="L74" i="4"/>
  <c r="L77" i="4" s="1"/>
  <c r="K74" i="4"/>
  <c r="K77" i="4" s="1"/>
  <c r="K76" i="4"/>
  <c r="G74" i="4"/>
  <c r="G77" i="4" s="1"/>
  <c r="E74" i="4"/>
  <c r="E77" i="4" s="1"/>
  <c r="J74" i="4"/>
  <c r="J77" i="4" s="1"/>
  <c r="I74" i="4"/>
  <c r="I77" i="4" s="1"/>
  <c r="J76" i="4"/>
  <c r="I76" i="4"/>
  <c r="G76" i="4"/>
  <c r="D74" i="4"/>
  <c r="D77" i="4" s="1"/>
  <c r="H74" i="4"/>
  <c r="H77" i="4" s="1"/>
  <c r="H76" i="4"/>
  <c r="F74" i="4"/>
  <c r="F77" i="4" s="1"/>
  <c r="C74" i="4"/>
  <c r="C77" i="4" s="1"/>
  <c r="B78" i="4"/>
  <c r="F90" i="4" l="1"/>
  <c r="F91" i="4" s="1"/>
  <c r="I90" i="4"/>
  <c r="I91" i="4" s="1"/>
  <c r="G90" i="4"/>
  <c r="G91" i="4"/>
  <c r="H90" i="4"/>
  <c r="H91" i="4" s="1"/>
  <c r="C90" i="4"/>
  <c r="C91" i="4" s="1"/>
  <c r="K90" i="4"/>
  <c r="K91" i="4"/>
  <c r="D90" i="4"/>
  <c r="D91" i="4" s="1"/>
  <c r="D116" i="4"/>
  <c r="E111" i="4"/>
  <c r="D114" i="4"/>
  <c r="D117" i="4" s="1"/>
  <c r="D118" i="4" s="1"/>
  <c r="J90" i="4"/>
  <c r="J91" i="4"/>
  <c r="M91" i="4"/>
  <c r="E100" i="4"/>
  <c r="E103" i="4" s="1"/>
  <c r="E104" i="4" s="1"/>
  <c r="F97" i="4"/>
  <c r="E102" i="4"/>
  <c r="E90" i="4"/>
  <c r="E91" i="4" s="1"/>
  <c r="D104" i="4"/>
  <c r="E78" i="4"/>
  <c r="H78" i="4"/>
  <c r="C78" i="4"/>
  <c r="D78" i="4"/>
  <c r="I78" i="4"/>
  <c r="J78" i="4"/>
  <c r="G78" i="4"/>
  <c r="K78" i="4"/>
  <c r="L78" i="4"/>
  <c r="F78" i="4"/>
  <c r="F102" i="4" l="1"/>
  <c r="F100" i="4"/>
  <c r="F103" i="4" s="1"/>
  <c r="F104" i="4" s="1"/>
  <c r="G97" i="4"/>
  <c r="E114" i="4"/>
  <c r="E117" i="4" s="1"/>
  <c r="E116" i="4"/>
  <c r="F111" i="4"/>
  <c r="F114" i="4" l="1"/>
  <c r="F117" i="4" s="1"/>
  <c r="F116" i="4"/>
  <c r="G111" i="4"/>
  <c r="E118" i="4"/>
  <c r="G100" i="4"/>
  <c r="G103" i="4" s="1"/>
  <c r="G102" i="4"/>
  <c r="H97" i="4"/>
  <c r="I97" i="4" l="1"/>
  <c r="H100" i="4"/>
  <c r="H103" i="4" s="1"/>
  <c r="H102" i="4"/>
  <c r="G104" i="4"/>
  <c r="G114" i="4"/>
  <c r="G117" i="4" s="1"/>
  <c r="G116" i="4"/>
  <c r="H111" i="4"/>
  <c r="F118" i="4"/>
  <c r="H114" i="4" l="1"/>
  <c r="H117" i="4" s="1"/>
  <c r="H116" i="4"/>
  <c r="G118" i="4"/>
  <c r="H104" i="4"/>
  <c r="I102" i="4"/>
  <c r="J97" i="4"/>
  <c r="I100" i="4"/>
  <c r="I103" i="4" s="1"/>
  <c r="I104" i="4" s="1"/>
  <c r="J100" i="4" l="1"/>
  <c r="J103" i="4" s="1"/>
  <c r="K97" i="4"/>
  <c r="J102" i="4"/>
  <c r="H118" i="4"/>
  <c r="I118" i="4" s="1"/>
  <c r="B119" i="4" s="1"/>
  <c r="B120" i="4" s="1"/>
  <c r="D15" i="4" s="1"/>
  <c r="L97" i="4" l="1"/>
  <c r="K100" i="4"/>
  <c r="K103" i="4" s="1"/>
  <c r="K102" i="4"/>
  <c r="J104" i="4"/>
  <c r="K104" i="4" l="1"/>
  <c r="M97" i="4"/>
  <c r="L100" i="4"/>
  <c r="L103" i="4" s="1"/>
  <c r="L102" i="4"/>
  <c r="L104" i="4" l="1"/>
  <c r="N97" i="4"/>
  <c r="M100" i="4"/>
  <c r="M103" i="4" s="1"/>
  <c r="M102" i="4"/>
  <c r="M104" i="4" l="1"/>
  <c r="O97" i="4"/>
  <c r="N100" i="4"/>
  <c r="N103" i="4" s="1"/>
  <c r="N102" i="4"/>
  <c r="N104" i="4" l="1"/>
  <c r="P97" i="4"/>
  <c r="O100" i="4"/>
  <c r="O103" i="4" s="1"/>
  <c r="O102" i="4"/>
  <c r="O104" i="4" l="1"/>
  <c r="Q97" i="4"/>
  <c r="P102" i="4"/>
  <c r="P100" i="4"/>
  <c r="P103" i="4" s="1"/>
  <c r="P104" i="4" s="1"/>
  <c r="R97" i="4" l="1"/>
  <c r="Q102" i="4"/>
  <c r="Q100" i="4"/>
  <c r="Q103" i="4" s="1"/>
  <c r="Q104" i="4" s="1"/>
  <c r="S97" i="4" l="1"/>
  <c r="R102" i="4"/>
  <c r="R100" i="4"/>
  <c r="R103" i="4" s="1"/>
  <c r="R104" i="4" s="1"/>
  <c r="T97" i="4" l="1"/>
  <c r="S100" i="4"/>
  <c r="S103" i="4" s="1"/>
  <c r="S102" i="4"/>
  <c r="S104" i="4" l="1"/>
  <c r="U97" i="4"/>
  <c r="T100" i="4"/>
  <c r="T103" i="4" s="1"/>
  <c r="T102" i="4"/>
  <c r="T104" i="4" l="1"/>
  <c r="V97" i="4"/>
  <c r="U100" i="4"/>
  <c r="U103" i="4" s="1"/>
  <c r="U102" i="4"/>
  <c r="U104" i="4" l="1"/>
  <c r="W97" i="4"/>
  <c r="V102" i="4"/>
  <c r="V100" i="4"/>
  <c r="V103" i="4" s="1"/>
  <c r="V104" i="4" s="1"/>
  <c r="X97" i="4" l="1"/>
  <c r="W102" i="4"/>
  <c r="W100" i="4"/>
  <c r="W103" i="4" s="1"/>
  <c r="W104" i="4" s="1"/>
  <c r="Y97" i="4" l="1"/>
  <c r="X100" i="4"/>
  <c r="X103" i="4" s="1"/>
  <c r="X102" i="4"/>
  <c r="X104" i="4" l="1"/>
  <c r="Z97" i="4"/>
  <c r="Y100" i="4"/>
  <c r="Y103" i="4" s="1"/>
  <c r="Y104" i="4" s="1"/>
  <c r="Y102" i="4"/>
  <c r="AA97" i="4" l="1"/>
  <c r="Z100" i="4"/>
  <c r="Z103" i="4" s="1"/>
  <c r="Z102" i="4"/>
  <c r="Z104" i="4" l="1"/>
  <c r="AB97" i="4"/>
  <c r="AA102" i="4"/>
  <c r="AA100" i="4"/>
  <c r="AA103" i="4" s="1"/>
  <c r="AC97" i="4" l="1"/>
  <c r="AB102" i="4"/>
  <c r="AB100" i="4"/>
  <c r="AB103" i="4" s="1"/>
  <c r="AB104" i="4" s="1"/>
  <c r="AA104" i="4"/>
  <c r="AD97" i="4" l="1"/>
  <c r="AC102" i="4"/>
  <c r="AC100" i="4"/>
  <c r="AC103" i="4" s="1"/>
  <c r="AC104" i="4" s="1"/>
  <c r="AE97" i="4" l="1"/>
  <c r="AD102" i="4"/>
  <c r="AD100" i="4"/>
  <c r="AD103" i="4" s="1"/>
  <c r="AD104" i="4" s="1"/>
  <c r="AF97" i="4" l="1"/>
  <c r="AE100" i="4"/>
  <c r="AE103" i="4" s="1"/>
  <c r="AE102" i="4"/>
  <c r="AE104" i="4" l="1"/>
  <c r="AG97" i="4"/>
  <c r="AF100" i="4"/>
  <c r="AF103" i="4" s="1"/>
  <c r="AF104" i="4" s="1"/>
  <c r="AF102" i="4"/>
  <c r="AH97" i="4" l="1"/>
  <c r="AG102" i="4"/>
  <c r="AG100" i="4"/>
  <c r="AG103" i="4" s="1"/>
  <c r="AG104" i="4" s="1"/>
  <c r="AI97" i="4" l="1"/>
  <c r="AH100" i="4"/>
  <c r="AH103" i="4" s="1"/>
  <c r="AH102" i="4"/>
  <c r="AH104" i="4" l="1"/>
  <c r="AJ97" i="4"/>
  <c r="AI100" i="4"/>
  <c r="AI103" i="4" s="1"/>
  <c r="AI102" i="4"/>
  <c r="AI104" i="4" l="1"/>
  <c r="AK97" i="4"/>
  <c r="AJ100" i="4"/>
  <c r="AJ103" i="4" s="1"/>
  <c r="AJ104" i="4" s="1"/>
  <c r="AJ102" i="4"/>
  <c r="AL97" i="4" l="1"/>
  <c r="AK100" i="4"/>
  <c r="AK103" i="4" s="1"/>
  <c r="AK102" i="4"/>
  <c r="AK104" i="4" l="1"/>
  <c r="AM97" i="4"/>
  <c r="AL100" i="4"/>
  <c r="AL103" i="4" s="1"/>
  <c r="AL102" i="4"/>
  <c r="AL104" i="4" l="1"/>
  <c r="AN97" i="4"/>
  <c r="AM100" i="4"/>
  <c r="AM103" i="4" s="1"/>
  <c r="AM102" i="4"/>
  <c r="AM104" i="4" l="1"/>
  <c r="AO97" i="4"/>
  <c r="AN100" i="4"/>
  <c r="AN103" i="4" s="1"/>
  <c r="AN102" i="4"/>
  <c r="AN104" i="4" l="1"/>
  <c r="AP97" i="4"/>
  <c r="AO100" i="4"/>
  <c r="AO103" i="4" s="1"/>
  <c r="AO104" i="4" s="1"/>
  <c r="AO102" i="4"/>
  <c r="AQ97" i="4" l="1"/>
  <c r="AP102" i="4"/>
  <c r="AP100" i="4"/>
  <c r="AP103" i="4" s="1"/>
  <c r="AP104" i="4" s="1"/>
  <c r="AR97" i="4" l="1"/>
  <c r="AQ100" i="4"/>
  <c r="AQ103" i="4" s="1"/>
  <c r="AQ102" i="4"/>
  <c r="AQ104" i="4" l="1"/>
  <c r="AS97" i="4"/>
  <c r="AR100" i="4"/>
  <c r="AR103" i="4" s="1"/>
  <c r="AR102" i="4"/>
  <c r="AR104" i="4" l="1"/>
  <c r="AT97" i="4"/>
  <c r="AS100" i="4"/>
  <c r="AS103" i="4" s="1"/>
  <c r="AS104" i="4" s="1"/>
  <c r="AS102" i="4"/>
  <c r="AU97" i="4" l="1"/>
  <c r="AT100" i="4"/>
  <c r="AT103" i="4" s="1"/>
  <c r="AT102" i="4"/>
  <c r="AT104" i="4" l="1"/>
  <c r="AV97" i="4"/>
  <c r="AU102" i="4"/>
  <c r="AU100" i="4"/>
  <c r="AU103" i="4" s="1"/>
  <c r="AU104" i="4" l="1"/>
  <c r="AV100" i="4"/>
  <c r="AV103" i="4" s="1"/>
  <c r="AV102" i="4"/>
  <c r="AV104" i="4" l="1"/>
  <c r="B105" i="4" s="1"/>
  <c r="D14" i="4" s="1"/>
  <c r="D22" i="4" l="1"/>
  <c r="M83" i="4"/>
  <c r="B83" i="4"/>
  <c r="C69" i="4"/>
  <c r="D69" i="4" s="1"/>
  <c r="B92" i="4" l="1"/>
  <c r="D13" i="4" s="1"/>
  <c r="B79" i="4"/>
  <c r="D12" i="4" s="1"/>
  <c r="E69" i="4"/>
  <c r="D83" i="4"/>
  <c r="C83" i="4"/>
  <c r="D9" i="4"/>
  <c r="E83" i="4" l="1"/>
  <c r="F69" i="4"/>
  <c r="AJ37" i="2"/>
  <c r="AK37" i="2"/>
  <c r="AL37" i="2"/>
  <c r="AI37" i="2"/>
  <c r="F264" i="1"/>
  <c r="N327" i="1"/>
  <c r="N256" i="1"/>
  <c r="N255" i="1" s="1"/>
  <c r="N243" i="1"/>
  <c r="N171" i="1"/>
  <c r="N175" i="1"/>
  <c r="N176" i="1"/>
  <c r="N185" i="1"/>
  <c r="N200" i="1"/>
  <c r="N201" i="1"/>
  <c r="N210" i="1"/>
  <c r="N211" i="1"/>
  <c r="N159" i="1"/>
  <c r="N90" i="1"/>
  <c r="N91" i="1"/>
  <c r="N89" i="1" s="1"/>
  <c r="N92" i="1"/>
  <c r="N93" i="1"/>
  <c r="N94" i="1"/>
  <c r="N95" i="1"/>
  <c r="N96" i="1"/>
  <c r="AM37" i="2"/>
  <c r="AT36" i="3"/>
  <c r="AT37" i="3"/>
  <c r="AT38" i="3"/>
  <c r="AT31" i="3"/>
  <c r="AT32" i="3"/>
  <c r="AT33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AM37" i="3"/>
  <c r="AN37" i="3"/>
  <c r="AO37" i="3"/>
  <c r="AP37" i="3"/>
  <c r="AQ37" i="3"/>
  <c r="AR37" i="3"/>
  <c r="AS37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G36" i="3"/>
  <c r="AS31" i="3"/>
  <c r="AP32" i="3"/>
  <c r="AQ32" i="3"/>
  <c r="AR32" i="3"/>
  <c r="AS32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J31" i="3"/>
  <c r="AS19" i="3"/>
  <c r="AR19" i="3"/>
  <c r="AP19" i="3"/>
  <c r="AQ19" i="3"/>
  <c r="AO19" i="3"/>
  <c r="AN19" i="3"/>
  <c r="AL19" i="3"/>
  <c r="AM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F83" i="4" l="1"/>
  <c r="G69" i="4"/>
  <c r="K176" i="1"/>
  <c r="L176" i="1"/>
  <c r="M176" i="1"/>
  <c r="J176" i="1"/>
  <c r="M171" i="1"/>
  <c r="K159" i="1"/>
  <c r="L159" i="1"/>
  <c r="M159" i="1"/>
  <c r="J159" i="1"/>
  <c r="K175" i="1"/>
  <c r="L175" i="1"/>
  <c r="M175" i="1"/>
  <c r="K243" i="1"/>
  <c r="L243" i="1"/>
  <c r="M243" i="1"/>
  <c r="J243" i="1"/>
  <c r="C251" i="1"/>
  <c r="C316" i="1" s="1"/>
  <c r="K201" i="1"/>
  <c r="L201" i="1"/>
  <c r="M201" i="1"/>
  <c r="J201" i="1"/>
  <c r="J185" i="1"/>
  <c r="E330" i="1"/>
  <c r="F330" i="1"/>
  <c r="G330" i="1"/>
  <c r="H330" i="1"/>
  <c r="I330" i="1"/>
  <c r="I333" i="1" s="1"/>
  <c r="E331" i="1"/>
  <c r="F331" i="1"/>
  <c r="G331" i="1"/>
  <c r="H331" i="1"/>
  <c r="I331" i="1"/>
  <c r="D331" i="1"/>
  <c r="D330" i="1"/>
  <c r="E326" i="1"/>
  <c r="F326" i="1"/>
  <c r="G326" i="1"/>
  <c r="H326" i="1"/>
  <c r="I326" i="1"/>
  <c r="E327" i="1"/>
  <c r="F327" i="1"/>
  <c r="G327" i="1"/>
  <c r="H327" i="1"/>
  <c r="I327" i="1"/>
  <c r="D327" i="1"/>
  <c r="D326" i="1"/>
  <c r="E317" i="1"/>
  <c r="F317" i="1"/>
  <c r="G317" i="1"/>
  <c r="H317" i="1"/>
  <c r="I317" i="1"/>
  <c r="E318" i="1"/>
  <c r="F318" i="1"/>
  <c r="G318" i="1"/>
  <c r="H318" i="1"/>
  <c r="I318" i="1"/>
  <c r="E319" i="1"/>
  <c r="F319" i="1"/>
  <c r="G319" i="1"/>
  <c r="H319" i="1"/>
  <c r="I319" i="1"/>
  <c r="E320" i="1"/>
  <c r="F320" i="1"/>
  <c r="G320" i="1"/>
  <c r="H320" i="1"/>
  <c r="I320" i="1"/>
  <c r="E321" i="1"/>
  <c r="F321" i="1"/>
  <c r="G321" i="1"/>
  <c r="H321" i="1"/>
  <c r="I321" i="1"/>
  <c r="E322" i="1"/>
  <c r="F322" i="1"/>
  <c r="G322" i="1"/>
  <c r="H322" i="1"/>
  <c r="I322" i="1"/>
  <c r="D322" i="1"/>
  <c r="D321" i="1"/>
  <c r="D320" i="1"/>
  <c r="D319" i="1"/>
  <c r="D318" i="1"/>
  <c r="D317" i="1"/>
  <c r="D315" i="1"/>
  <c r="D332" i="1" s="1"/>
  <c r="D333" i="1" s="1"/>
  <c r="E315" i="1"/>
  <c r="E332" i="1" s="1"/>
  <c r="E333" i="1" s="1"/>
  <c r="F315" i="1"/>
  <c r="F332" i="1" s="1"/>
  <c r="F333" i="1" s="1"/>
  <c r="G315" i="1"/>
  <c r="G332" i="1" s="1"/>
  <c r="G333" i="1" s="1"/>
  <c r="H315" i="1"/>
  <c r="H332" i="1" s="1"/>
  <c r="H333" i="1" s="1"/>
  <c r="I315" i="1"/>
  <c r="I332" i="1" s="1"/>
  <c r="C315" i="1"/>
  <c r="K210" i="1"/>
  <c r="L210" i="1"/>
  <c r="M210" i="1"/>
  <c r="J210" i="1"/>
  <c r="K185" i="1"/>
  <c r="L185" i="1"/>
  <c r="M185" i="1"/>
  <c r="K211" i="1"/>
  <c r="L211" i="1"/>
  <c r="M211" i="1"/>
  <c r="J211" i="1"/>
  <c r="J200" i="1"/>
  <c r="K200" i="1"/>
  <c r="L200" i="1"/>
  <c r="M200" i="1"/>
  <c r="H69" i="4" l="1"/>
  <c r="G83" i="4"/>
  <c r="D158" i="1"/>
  <c r="D160" i="1" s="1"/>
  <c r="E158" i="1"/>
  <c r="E160" i="1" s="1"/>
  <c r="F158" i="1"/>
  <c r="F160" i="1" s="1"/>
  <c r="G158" i="1"/>
  <c r="G160" i="1" s="1"/>
  <c r="H158" i="1"/>
  <c r="H160" i="1" s="1"/>
  <c r="I158" i="1"/>
  <c r="I160" i="1" s="1"/>
  <c r="C158" i="1"/>
  <c r="C160" i="1" s="1"/>
  <c r="D281" i="1"/>
  <c r="E281" i="1"/>
  <c r="F281" i="1"/>
  <c r="G281" i="1"/>
  <c r="H281" i="1"/>
  <c r="I281" i="1"/>
  <c r="C281" i="1"/>
  <c r="D283" i="1"/>
  <c r="E280" i="1" s="1"/>
  <c r="E283" i="1"/>
  <c r="F280" i="1" s="1"/>
  <c r="F283" i="1"/>
  <c r="G280" i="1" s="1"/>
  <c r="G283" i="1"/>
  <c r="H280" i="1" s="1"/>
  <c r="H283" i="1"/>
  <c r="I280" i="1" s="1"/>
  <c r="I283" i="1"/>
  <c r="J280" i="1" s="1"/>
  <c r="C283" i="1"/>
  <c r="D280" i="1" s="1"/>
  <c r="I69" i="4" l="1"/>
  <c r="H83" i="4"/>
  <c r="E242" i="1"/>
  <c r="F242" i="1"/>
  <c r="G242" i="1"/>
  <c r="H242" i="1"/>
  <c r="I242" i="1"/>
  <c r="D242" i="1"/>
  <c r="E251" i="1"/>
  <c r="E316" i="1" s="1"/>
  <c r="F251" i="1"/>
  <c r="F316" i="1" s="1"/>
  <c r="G251" i="1"/>
  <c r="G316" i="1" s="1"/>
  <c r="H251" i="1"/>
  <c r="H316" i="1" s="1"/>
  <c r="I251" i="1"/>
  <c r="I316" i="1" s="1"/>
  <c r="D251" i="1"/>
  <c r="D316" i="1" s="1"/>
  <c r="D248" i="1"/>
  <c r="E248" i="1"/>
  <c r="F248" i="1"/>
  <c r="G248" i="1"/>
  <c r="H248" i="1"/>
  <c r="I248" i="1"/>
  <c r="C248" i="1"/>
  <c r="I247" i="1"/>
  <c r="D247" i="1"/>
  <c r="E247" i="1"/>
  <c r="E241" i="1" s="1"/>
  <c r="E243" i="1" s="1"/>
  <c r="F247" i="1"/>
  <c r="F241" i="1" s="1"/>
  <c r="F243" i="1" s="1"/>
  <c r="G247" i="1"/>
  <c r="G250" i="1" s="1"/>
  <c r="H247" i="1"/>
  <c r="C247" i="1"/>
  <c r="D305" i="1"/>
  <c r="E305" i="1"/>
  <c r="F305" i="1"/>
  <c r="G305" i="1"/>
  <c r="H305" i="1"/>
  <c r="D306" i="1"/>
  <c r="E306" i="1"/>
  <c r="F306" i="1"/>
  <c r="G306" i="1"/>
  <c r="H306" i="1"/>
  <c r="I306" i="1"/>
  <c r="C306" i="1"/>
  <c r="C305" i="1"/>
  <c r="J90" i="1"/>
  <c r="K90" i="1" s="1"/>
  <c r="L90" i="1" s="1"/>
  <c r="M90" i="1" s="1"/>
  <c r="J91" i="1"/>
  <c r="K91" i="1" s="1"/>
  <c r="L91" i="1" s="1"/>
  <c r="M91" i="1" s="1"/>
  <c r="J92" i="1"/>
  <c r="K92" i="1" s="1"/>
  <c r="L92" i="1" s="1"/>
  <c r="M92" i="1" s="1"/>
  <c r="J93" i="1"/>
  <c r="K93" i="1" s="1"/>
  <c r="L93" i="1" s="1"/>
  <c r="M93" i="1" s="1"/>
  <c r="J94" i="1"/>
  <c r="K94" i="1" s="1"/>
  <c r="L94" i="1" s="1"/>
  <c r="M94" i="1" s="1"/>
  <c r="J95" i="1"/>
  <c r="K95" i="1" s="1"/>
  <c r="L95" i="1" s="1"/>
  <c r="M95" i="1" s="1"/>
  <c r="J96" i="1"/>
  <c r="K96" i="1" s="1"/>
  <c r="L96" i="1" s="1"/>
  <c r="M96" i="1" s="1"/>
  <c r="I175" i="1"/>
  <c r="C201" i="1"/>
  <c r="D201" i="1"/>
  <c r="E201" i="1"/>
  <c r="F201" i="1"/>
  <c r="G201" i="1"/>
  <c r="H201" i="1"/>
  <c r="I201" i="1"/>
  <c r="C202" i="1"/>
  <c r="D202" i="1"/>
  <c r="E202" i="1"/>
  <c r="F202" i="1"/>
  <c r="G202" i="1"/>
  <c r="H202" i="1"/>
  <c r="I202" i="1"/>
  <c r="C203" i="1"/>
  <c r="D203" i="1"/>
  <c r="E203" i="1"/>
  <c r="F203" i="1"/>
  <c r="G203" i="1"/>
  <c r="H203" i="1"/>
  <c r="I203" i="1"/>
  <c r="C204" i="1"/>
  <c r="D204" i="1"/>
  <c r="E204" i="1"/>
  <c r="F204" i="1"/>
  <c r="G204" i="1"/>
  <c r="H204" i="1"/>
  <c r="I204" i="1"/>
  <c r="C205" i="1"/>
  <c r="D205" i="1"/>
  <c r="E205" i="1"/>
  <c r="F205" i="1"/>
  <c r="G205" i="1"/>
  <c r="H205" i="1"/>
  <c r="I205" i="1"/>
  <c r="C206" i="1"/>
  <c r="D206" i="1"/>
  <c r="C207" i="1"/>
  <c r="D207" i="1"/>
  <c r="E207" i="1"/>
  <c r="F207" i="1"/>
  <c r="G207" i="1"/>
  <c r="H207" i="1"/>
  <c r="I207" i="1"/>
  <c r="C208" i="1"/>
  <c r="D208" i="1"/>
  <c r="E208" i="1"/>
  <c r="F208" i="1"/>
  <c r="G208" i="1"/>
  <c r="H208" i="1"/>
  <c r="I208" i="1"/>
  <c r="C209" i="1"/>
  <c r="D209" i="1"/>
  <c r="E209" i="1"/>
  <c r="F209" i="1"/>
  <c r="G209" i="1"/>
  <c r="H209" i="1"/>
  <c r="I209" i="1"/>
  <c r="C210" i="1"/>
  <c r="D210" i="1"/>
  <c r="E210" i="1"/>
  <c r="F210" i="1"/>
  <c r="G210" i="1"/>
  <c r="H210" i="1"/>
  <c r="I210" i="1"/>
  <c r="C211" i="1"/>
  <c r="D211" i="1"/>
  <c r="E211" i="1"/>
  <c r="F211" i="1"/>
  <c r="G211" i="1"/>
  <c r="H211" i="1"/>
  <c r="I211" i="1"/>
  <c r="C212" i="1"/>
  <c r="D212" i="1"/>
  <c r="E212" i="1"/>
  <c r="F212" i="1"/>
  <c r="G212" i="1"/>
  <c r="H212" i="1"/>
  <c r="I212" i="1"/>
  <c r="C213" i="1"/>
  <c r="D213" i="1"/>
  <c r="E213" i="1"/>
  <c r="F213" i="1"/>
  <c r="G213" i="1"/>
  <c r="H213" i="1"/>
  <c r="I213" i="1"/>
  <c r="C214" i="1"/>
  <c r="D214" i="1"/>
  <c r="E214" i="1"/>
  <c r="F214" i="1"/>
  <c r="G214" i="1"/>
  <c r="H214" i="1"/>
  <c r="I214" i="1"/>
  <c r="C215" i="1"/>
  <c r="D215" i="1"/>
  <c r="E215" i="1"/>
  <c r="F215" i="1"/>
  <c r="G215" i="1"/>
  <c r="H215" i="1"/>
  <c r="I215" i="1"/>
  <c r="C216" i="1"/>
  <c r="D216" i="1"/>
  <c r="C217" i="1"/>
  <c r="D217" i="1"/>
  <c r="E217" i="1"/>
  <c r="F217" i="1"/>
  <c r="G217" i="1"/>
  <c r="H217" i="1"/>
  <c r="I217" i="1"/>
  <c r="C218" i="1"/>
  <c r="D218" i="1"/>
  <c r="E218" i="1"/>
  <c r="F218" i="1"/>
  <c r="G218" i="1"/>
  <c r="H218" i="1"/>
  <c r="I218" i="1"/>
  <c r="C219" i="1"/>
  <c r="D219" i="1"/>
  <c r="E219" i="1"/>
  <c r="F219" i="1"/>
  <c r="G219" i="1"/>
  <c r="H219" i="1"/>
  <c r="I219" i="1"/>
  <c r="C220" i="1"/>
  <c r="D220" i="1"/>
  <c r="E220" i="1"/>
  <c r="F220" i="1"/>
  <c r="G220" i="1"/>
  <c r="H220" i="1"/>
  <c r="I220" i="1"/>
  <c r="C221" i="1"/>
  <c r="D221" i="1"/>
  <c r="E221" i="1"/>
  <c r="F221" i="1"/>
  <c r="G221" i="1"/>
  <c r="H221" i="1"/>
  <c r="I221" i="1"/>
  <c r="C222" i="1"/>
  <c r="D222" i="1"/>
  <c r="E222" i="1"/>
  <c r="F222" i="1"/>
  <c r="G222" i="1"/>
  <c r="H222" i="1"/>
  <c r="I222" i="1"/>
  <c r="C223" i="1"/>
  <c r="D223" i="1"/>
  <c r="E223" i="1"/>
  <c r="F223" i="1"/>
  <c r="G223" i="1"/>
  <c r="H223" i="1"/>
  <c r="I223" i="1"/>
  <c r="C224" i="1"/>
  <c r="D224" i="1"/>
  <c r="E224" i="1"/>
  <c r="F224" i="1"/>
  <c r="G224" i="1"/>
  <c r="H224" i="1"/>
  <c r="I224" i="1"/>
  <c r="C225" i="1"/>
  <c r="D225" i="1"/>
  <c r="E225" i="1"/>
  <c r="F225" i="1"/>
  <c r="G225" i="1"/>
  <c r="H225" i="1"/>
  <c r="I225" i="1"/>
  <c r="C226" i="1"/>
  <c r="D226" i="1"/>
  <c r="E226" i="1"/>
  <c r="F226" i="1"/>
  <c r="G226" i="1"/>
  <c r="H226" i="1"/>
  <c r="I226" i="1"/>
  <c r="C227" i="1"/>
  <c r="D227" i="1"/>
  <c r="E227" i="1"/>
  <c r="F227" i="1"/>
  <c r="G227" i="1"/>
  <c r="H227" i="1"/>
  <c r="I227" i="1"/>
  <c r="C228" i="1"/>
  <c r="D228" i="1"/>
  <c r="E228" i="1"/>
  <c r="F228" i="1"/>
  <c r="G228" i="1"/>
  <c r="H228" i="1"/>
  <c r="I228" i="1"/>
  <c r="C229" i="1"/>
  <c r="D229" i="1"/>
  <c r="E229" i="1"/>
  <c r="F229" i="1"/>
  <c r="G229" i="1"/>
  <c r="H229" i="1"/>
  <c r="I229" i="1"/>
  <c r="C230" i="1"/>
  <c r="D230" i="1"/>
  <c r="E230" i="1"/>
  <c r="F230" i="1"/>
  <c r="G230" i="1"/>
  <c r="H230" i="1"/>
  <c r="I230" i="1"/>
  <c r="C231" i="1"/>
  <c r="D231" i="1"/>
  <c r="E231" i="1"/>
  <c r="F231" i="1"/>
  <c r="G231" i="1"/>
  <c r="H231" i="1"/>
  <c r="I231" i="1"/>
  <c r="C232" i="1"/>
  <c r="D232" i="1"/>
  <c r="E232" i="1"/>
  <c r="F232" i="1"/>
  <c r="G232" i="1"/>
  <c r="H232" i="1"/>
  <c r="I232" i="1"/>
  <c r="C233" i="1"/>
  <c r="D233" i="1"/>
  <c r="E233" i="1"/>
  <c r="F233" i="1"/>
  <c r="G233" i="1"/>
  <c r="H233" i="1"/>
  <c r="I233" i="1"/>
  <c r="C234" i="1"/>
  <c r="D234" i="1"/>
  <c r="E234" i="1"/>
  <c r="F234" i="1"/>
  <c r="G234" i="1"/>
  <c r="H234" i="1"/>
  <c r="I234" i="1"/>
  <c r="C235" i="1"/>
  <c r="D235" i="1"/>
  <c r="E235" i="1"/>
  <c r="F235" i="1"/>
  <c r="G235" i="1"/>
  <c r="H235" i="1"/>
  <c r="I235" i="1"/>
  <c r="C236" i="1"/>
  <c r="D236" i="1"/>
  <c r="E236" i="1"/>
  <c r="F236" i="1"/>
  <c r="G236" i="1"/>
  <c r="H236" i="1"/>
  <c r="I236" i="1"/>
  <c r="D200" i="1"/>
  <c r="E200" i="1"/>
  <c r="F200" i="1"/>
  <c r="G200" i="1"/>
  <c r="H200" i="1"/>
  <c r="I200" i="1"/>
  <c r="C200" i="1"/>
  <c r="C169" i="1"/>
  <c r="D169" i="1"/>
  <c r="E169" i="1"/>
  <c r="F169" i="1"/>
  <c r="G169" i="1"/>
  <c r="H169" i="1"/>
  <c r="I169" i="1"/>
  <c r="C170" i="1"/>
  <c r="D170" i="1"/>
  <c r="E170" i="1"/>
  <c r="F170" i="1"/>
  <c r="G170" i="1"/>
  <c r="H170" i="1"/>
  <c r="I170" i="1"/>
  <c r="C171" i="1"/>
  <c r="D171" i="1"/>
  <c r="E171" i="1"/>
  <c r="F171" i="1"/>
  <c r="G171" i="1"/>
  <c r="H171" i="1"/>
  <c r="I171" i="1"/>
  <c r="C172" i="1"/>
  <c r="D172" i="1"/>
  <c r="E172" i="1"/>
  <c r="F172" i="1"/>
  <c r="G172" i="1"/>
  <c r="H172" i="1"/>
  <c r="I172" i="1"/>
  <c r="C173" i="1"/>
  <c r="D173" i="1"/>
  <c r="E173" i="1"/>
  <c r="F173" i="1"/>
  <c r="G173" i="1"/>
  <c r="H173" i="1"/>
  <c r="I173" i="1"/>
  <c r="C174" i="1"/>
  <c r="D174" i="1"/>
  <c r="E174" i="1"/>
  <c r="F174" i="1"/>
  <c r="G174" i="1"/>
  <c r="H174" i="1"/>
  <c r="I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I176" i="1"/>
  <c r="G177" i="1"/>
  <c r="H177" i="1"/>
  <c r="I177" i="1"/>
  <c r="C178" i="1"/>
  <c r="D178" i="1"/>
  <c r="E178" i="1"/>
  <c r="F178" i="1"/>
  <c r="G178" i="1"/>
  <c r="H178" i="1"/>
  <c r="I178" i="1"/>
  <c r="C179" i="1"/>
  <c r="D179" i="1"/>
  <c r="E179" i="1"/>
  <c r="F179" i="1"/>
  <c r="G179" i="1"/>
  <c r="H179" i="1"/>
  <c r="I179" i="1"/>
  <c r="C180" i="1"/>
  <c r="D180" i="1"/>
  <c r="E180" i="1"/>
  <c r="F180" i="1"/>
  <c r="G180" i="1"/>
  <c r="H180" i="1"/>
  <c r="I180" i="1"/>
  <c r="C181" i="1"/>
  <c r="D181" i="1"/>
  <c r="E181" i="1"/>
  <c r="F181" i="1"/>
  <c r="G181" i="1"/>
  <c r="H181" i="1"/>
  <c r="I181" i="1"/>
  <c r="C182" i="1"/>
  <c r="D182" i="1"/>
  <c r="E182" i="1"/>
  <c r="F182" i="1"/>
  <c r="G182" i="1"/>
  <c r="H182" i="1"/>
  <c r="I182" i="1"/>
  <c r="C183" i="1"/>
  <c r="D183" i="1"/>
  <c r="E183" i="1"/>
  <c r="F183" i="1"/>
  <c r="G183" i="1"/>
  <c r="H183" i="1"/>
  <c r="I183" i="1"/>
  <c r="C184" i="1"/>
  <c r="D184" i="1"/>
  <c r="E184" i="1"/>
  <c r="F184" i="1"/>
  <c r="G184" i="1"/>
  <c r="H184" i="1"/>
  <c r="I184" i="1"/>
  <c r="C185" i="1"/>
  <c r="D185" i="1"/>
  <c r="E185" i="1"/>
  <c r="F185" i="1"/>
  <c r="G185" i="1"/>
  <c r="H185" i="1"/>
  <c r="I185" i="1"/>
  <c r="C186" i="1"/>
  <c r="D186" i="1"/>
  <c r="E186" i="1"/>
  <c r="F186" i="1"/>
  <c r="G186" i="1"/>
  <c r="H186" i="1"/>
  <c r="I186" i="1"/>
  <c r="C187" i="1"/>
  <c r="D187" i="1"/>
  <c r="E187" i="1"/>
  <c r="F187" i="1"/>
  <c r="G187" i="1"/>
  <c r="H187" i="1"/>
  <c r="I187" i="1"/>
  <c r="C188" i="1"/>
  <c r="D188" i="1"/>
  <c r="E188" i="1"/>
  <c r="F188" i="1"/>
  <c r="G188" i="1"/>
  <c r="H188" i="1"/>
  <c r="I188" i="1"/>
  <c r="C189" i="1"/>
  <c r="D189" i="1"/>
  <c r="E189" i="1"/>
  <c r="F189" i="1"/>
  <c r="G189" i="1"/>
  <c r="H189" i="1"/>
  <c r="I189" i="1"/>
  <c r="C190" i="1"/>
  <c r="D190" i="1"/>
  <c r="E190" i="1"/>
  <c r="F190" i="1"/>
  <c r="G190" i="1"/>
  <c r="H190" i="1"/>
  <c r="I190" i="1"/>
  <c r="C191" i="1"/>
  <c r="D191" i="1"/>
  <c r="E191" i="1"/>
  <c r="F191" i="1"/>
  <c r="G191" i="1"/>
  <c r="H191" i="1"/>
  <c r="I191" i="1"/>
  <c r="C192" i="1"/>
  <c r="D192" i="1"/>
  <c r="E192" i="1"/>
  <c r="F192" i="1"/>
  <c r="G192" i="1"/>
  <c r="H192" i="1"/>
  <c r="I192" i="1"/>
  <c r="C193" i="1"/>
  <c r="D193" i="1"/>
  <c r="E193" i="1"/>
  <c r="F193" i="1"/>
  <c r="G193" i="1"/>
  <c r="H193" i="1"/>
  <c r="I193" i="1"/>
  <c r="C194" i="1"/>
  <c r="D194" i="1"/>
  <c r="E194" i="1"/>
  <c r="F194" i="1"/>
  <c r="G194" i="1"/>
  <c r="H194" i="1"/>
  <c r="I194" i="1"/>
  <c r="C195" i="1"/>
  <c r="D195" i="1"/>
  <c r="E195" i="1"/>
  <c r="F195" i="1"/>
  <c r="G195" i="1"/>
  <c r="H195" i="1"/>
  <c r="I195" i="1"/>
  <c r="C196" i="1"/>
  <c r="D196" i="1"/>
  <c r="E196" i="1"/>
  <c r="F196" i="1"/>
  <c r="G196" i="1"/>
  <c r="H196" i="1"/>
  <c r="I196" i="1"/>
  <c r="D168" i="1"/>
  <c r="E168" i="1"/>
  <c r="F168" i="1"/>
  <c r="G168" i="1"/>
  <c r="H168" i="1"/>
  <c r="I168" i="1"/>
  <c r="C168" i="1"/>
  <c r="J175" i="1"/>
  <c r="D199" i="1"/>
  <c r="E199" i="1"/>
  <c r="F199" i="1"/>
  <c r="G199" i="1"/>
  <c r="H199" i="1"/>
  <c r="I199" i="1"/>
  <c r="C199" i="1"/>
  <c r="D157" i="1"/>
  <c r="D159" i="1" s="1"/>
  <c r="E157" i="1"/>
  <c r="E159" i="1" s="1"/>
  <c r="F157" i="1"/>
  <c r="F159" i="1" s="1"/>
  <c r="G157" i="1"/>
  <c r="G159" i="1" s="1"/>
  <c r="H157" i="1"/>
  <c r="H159" i="1" s="1"/>
  <c r="I157" i="1"/>
  <c r="I159" i="1" s="1"/>
  <c r="C157" i="1"/>
  <c r="I22" i="1"/>
  <c r="I305" i="1" s="1"/>
  <c r="AH56" i="2"/>
  <c r="AI29" i="2"/>
  <c r="AI32" i="2" s="1"/>
  <c r="AI45" i="2"/>
  <c r="AJ45" i="2" s="1"/>
  <c r="AI36" i="2"/>
  <c r="AI39" i="2" s="1"/>
  <c r="AI22" i="2"/>
  <c r="AI25" i="2" s="1"/>
  <c r="Y7" i="2"/>
  <c r="Y54" i="2" s="1"/>
  <c r="Z7" i="2"/>
  <c r="Z54" i="2" s="1"/>
  <c r="AA7" i="2"/>
  <c r="AA54" i="2" s="1"/>
  <c r="AB7" i="2"/>
  <c r="AB54" i="2" s="1"/>
  <c r="AC7" i="2"/>
  <c r="AC54" i="2" s="1"/>
  <c r="AD7" i="2"/>
  <c r="AD54" i="2" s="1"/>
  <c r="AE7" i="2"/>
  <c r="AE54" i="2" s="1"/>
  <c r="AF7" i="2"/>
  <c r="AF54" i="2" s="1"/>
  <c r="AG7" i="2"/>
  <c r="AG54" i="2" s="1"/>
  <c r="AH7" i="2"/>
  <c r="AH54" i="2" s="1"/>
  <c r="AI14" i="2"/>
  <c r="AJ14" i="2" s="1"/>
  <c r="AK14" i="2" s="1"/>
  <c r="AL14" i="2" s="1"/>
  <c r="AM14" i="2" s="1"/>
  <c r="AI10" i="2"/>
  <c r="AJ10" i="2" s="1"/>
  <c r="AI8" i="2"/>
  <c r="AJ8" i="2" s="1"/>
  <c r="AK8" i="2" s="1"/>
  <c r="AL8" i="2" s="1"/>
  <c r="AM8" i="2" s="1"/>
  <c r="AH30" i="2"/>
  <c r="AH31" i="2"/>
  <c r="AG31" i="2"/>
  <c r="Z47" i="2"/>
  <c r="AA47" i="2"/>
  <c r="AB47" i="2"/>
  <c r="AC47" i="2"/>
  <c r="AD47" i="2"/>
  <c r="AE47" i="2"/>
  <c r="AF47" i="2"/>
  <c r="AG47" i="2"/>
  <c r="AH47" i="2"/>
  <c r="Y47" i="2"/>
  <c r="AA46" i="2"/>
  <c r="AB46" i="2"/>
  <c r="AC46" i="2"/>
  <c r="AD46" i="2"/>
  <c r="AE46" i="2"/>
  <c r="AF46" i="2"/>
  <c r="AG46" i="2"/>
  <c r="AH46" i="2"/>
  <c r="Z46" i="2"/>
  <c r="Z38" i="2"/>
  <c r="AA38" i="2"/>
  <c r="AB38" i="2"/>
  <c r="AC38" i="2"/>
  <c r="AD38" i="2"/>
  <c r="AE38" i="2"/>
  <c r="AF38" i="2"/>
  <c r="AG38" i="2"/>
  <c r="AH38" i="2"/>
  <c r="Y38" i="2"/>
  <c r="AA37" i="2"/>
  <c r="AB37" i="2"/>
  <c r="AC37" i="2"/>
  <c r="AD37" i="2"/>
  <c r="AE37" i="2"/>
  <c r="AF37" i="2"/>
  <c r="AG37" i="2"/>
  <c r="AH37" i="2"/>
  <c r="Z37" i="2"/>
  <c r="Z24" i="2"/>
  <c r="AA24" i="2"/>
  <c r="AB24" i="2"/>
  <c r="AC24" i="2"/>
  <c r="AD24" i="2"/>
  <c r="AE24" i="2"/>
  <c r="AF24" i="2"/>
  <c r="AG24" i="2"/>
  <c r="AH24" i="2"/>
  <c r="Y24" i="2"/>
  <c r="AA23" i="2"/>
  <c r="AB23" i="2"/>
  <c r="AC23" i="2"/>
  <c r="AD23" i="2"/>
  <c r="AE23" i="2"/>
  <c r="AF23" i="2"/>
  <c r="AG23" i="2"/>
  <c r="AH23" i="2"/>
  <c r="Z23" i="2"/>
  <c r="AA15" i="2"/>
  <c r="AB15" i="2"/>
  <c r="AC15" i="2"/>
  <c r="AD15" i="2"/>
  <c r="AE15" i="2"/>
  <c r="AF15" i="2"/>
  <c r="AG15" i="2"/>
  <c r="AH15" i="2"/>
  <c r="Z15" i="2"/>
  <c r="AA11" i="2"/>
  <c r="AB11" i="2"/>
  <c r="AC11" i="2"/>
  <c r="AD11" i="2"/>
  <c r="AE11" i="2"/>
  <c r="AF11" i="2"/>
  <c r="AG11" i="2"/>
  <c r="AH11" i="2"/>
  <c r="Z11" i="2"/>
  <c r="AA9" i="2"/>
  <c r="AB9" i="2"/>
  <c r="AC9" i="2"/>
  <c r="AD9" i="2"/>
  <c r="AE9" i="2"/>
  <c r="AF9" i="2"/>
  <c r="AG9" i="2"/>
  <c r="AH9" i="2"/>
  <c r="Z9" i="2"/>
  <c r="J69" i="4" l="1"/>
  <c r="I83" i="4"/>
  <c r="AJ22" i="2"/>
  <c r="AK22" i="2" s="1"/>
  <c r="J14" i="1"/>
  <c r="J158" i="1" s="1"/>
  <c r="Q23" i="2"/>
  <c r="AK45" i="2"/>
  <c r="AJ48" i="2"/>
  <c r="B4" i="4" s="1"/>
  <c r="D4" i="4" s="1"/>
  <c r="AI48" i="2"/>
  <c r="AJ36" i="2"/>
  <c r="AK36" i="2" s="1"/>
  <c r="AL36" i="2" s="1"/>
  <c r="AH57" i="2"/>
  <c r="AH55" i="2"/>
  <c r="AH17" i="2"/>
  <c r="AG17" i="2"/>
  <c r="AJ7" i="2"/>
  <c r="AJ18" i="2" s="1"/>
  <c r="H241" i="1"/>
  <c r="I250" i="1"/>
  <c r="I252" i="1" s="1"/>
  <c r="D241" i="1"/>
  <c r="F307" i="1"/>
  <c r="G249" i="1"/>
  <c r="F249" i="1"/>
  <c r="AJ29" i="2"/>
  <c r="AL22" i="2"/>
  <c r="AK25" i="2"/>
  <c r="AJ25" i="2"/>
  <c r="AI7" i="2"/>
  <c r="I325" i="1"/>
  <c r="I328" i="1" s="1"/>
  <c r="I336" i="1" s="1"/>
  <c r="I323" i="1"/>
  <c r="H323" i="1"/>
  <c r="H325" i="1"/>
  <c r="H328" i="1" s="1"/>
  <c r="G325" i="1"/>
  <c r="G328" i="1" s="1"/>
  <c r="G323" i="1"/>
  <c r="F323" i="1"/>
  <c r="F325" i="1"/>
  <c r="F328" i="1" s="1"/>
  <c r="F336" i="1" s="1"/>
  <c r="E325" i="1"/>
  <c r="E328" i="1" s="1"/>
  <c r="E323" i="1"/>
  <c r="D325" i="1"/>
  <c r="D328" i="1" s="1"/>
  <c r="D323" i="1"/>
  <c r="H243" i="1"/>
  <c r="G252" i="1"/>
  <c r="F250" i="1"/>
  <c r="F252" i="1" s="1"/>
  <c r="I241" i="1"/>
  <c r="I243" i="1" s="1"/>
  <c r="D243" i="1"/>
  <c r="G241" i="1"/>
  <c r="G243" i="1" s="1"/>
  <c r="E307" i="1"/>
  <c r="E250" i="1"/>
  <c r="E252" i="1" s="1"/>
  <c r="C307" i="1"/>
  <c r="D249" i="1"/>
  <c r="I307" i="1"/>
  <c r="D250" i="1"/>
  <c r="D252" i="1" s="1"/>
  <c r="I249" i="1"/>
  <c r="I255" i="1" s="1"/>
  <c r="C249" i="1"/>
  <c r="M89" i="1"/>
  <c r="C159" i="1"/>
  <c r="E249" i="1"/>
  <c r="K89" i="1"/>
  <c r="J89" i="1"/>
  <c r="G307" i="1"/>
  <c r="H307" i="1"/>
  <c r="H249" i="1"/>
  <c r="L89" i="1"/>
  <c r="D307" i="1"/>
  <c r="H250" i="1"/>
  <c r="H252" i="1" s="1"/>
  <c r="AK10" i="2"/>
  <c r="AD17" i="2"/>
  <c r="AB17" i="2"/>
  <c r="AF17" i="2"/>
  <c r="K69" i="4" l="1"/>
  <c r="J83" i="4"/>
  <c r="AI18" i="2"/>
  <c r="AJ39" i="2"/>
  <c r="B3" i="4" s="1"/>
  <c r="AK39" i="2"/>
  <c r="AL25" i="2"/>
  <c r="AM22" i="2"/>
  <c r="AM25" i="2" s="1"/>
  <c r="AL45" i="2"/>
  <c r="AK48" i="2"/>
  <c r="AL39" i="2"/>
  <c r="AM36" i="2"/>
  <c r="AM39" i="2" s="1"/>
  <c r="AJ54" i="2"/>
  <c r="K7" i="1" s="1"/>
  <c r="K107" i="1" s="1"/>
  <c r="M327" i="1"/>
  <c r="J327" i="1"/>
  <c r="K327" i="1"/>
  <c r="L327" i="1"/>
  <c r="H336" i="1"/>
  <c r="AJ32" i="2"/>
  <c r="AK29" i="2"/>
  <c r="AL29" i="2" s="1"/>
  <c r="AM29" i="2" s="1"/>
  <c r="AI56" i="2"/>
  <c r="AI54" i="2"/>
  <c r="P23" i="2" s="1"/>
  <c r="G336" i="1"/>
  <c r="E336" i="1"/>
  <c r="D336" i="1"/>
  <c r="J157" i="1"/>
  <c r="J16" i="1" s="1"/>
  <c r="J15" i="1" s="1"/>
  <c r="D347" i="1" s="1"/>
  <c r="J116" i="1"/>
  <c r="F262" i="1"/>
  <c r="F261" i="1"/>
  <c r="F263" i="1"/>
  <c r="F260" i="1"/>
  <c r="J256" i="1"/>
  <c r="J255" i="1" s="1"/>
  <c r="AK7" i="2"/>
  <c r="AL10" i="2"/>
  <c r="AE17" i="2"/>
  <c r="AA17" i="2"/>
  <c r="AC17" i="2"/>
  <c r="L69" i="4" l="1"/>
  <c r="L83" i="4" s="1"/>
  <c r="K83" i="4"/>
  <c r="D3" i="4"/>
  <c r="AJ56" i="2"/>
  <c r="L14" i="1" s="1"/>
  <c r="L158" i="1" s="1"/>
  <c r="L157" i="1" s="1"/>
  <c r="L16" i="1" s="1"/>
  <c r="L15" i="1" s="1"/>
  <c r="B5" i="4"/>
  <c r="D5" i="4" s="1"/>
  <c r="AI57" i="2"/>
  <c r="AM32" i="2"/>
  <c r="K121" i="1"/>
  <c r="AM45" i="2"/>
  <c r="AM48" i="2" s="1"/>
  <c r="AL48" i="2"/>
  <c r="K73" i="1"/>
  <c r="K74" i="1" s="1"/>
  <c r="K76" i="1"/>
  <c r="K88" i="1"/>
  <c r="K125" i="1"/>
  <c r="K106" i="1"/>
  <c r="K109" i="1"/>
  <c r="K103" i="1"/>
  <c r="K80" i="1"/>
  <c r="K117" i="1"/>
  <c r="K79" i="1"/>
  <c r="K123" i="1"/>
  <c r="K242" i="1"/>
  <c r="K241" i="1" s="1"/>
  <c r="D261" i="1" s="1"/>
  <c r="K261" i="1" s="1"/>
  <c r="K102" i="1"/>
  <c r="K113" i="1"/>
  <c r="K81" i="1"/>
  <c r="K111" i="1"/>
  <c r="K104" i="1"/>
  <c r="K124" i="1"/>
  <c r="K112" i="1"/>
  <c r="K87" i="1"/>
  <c r="K78" i="1"/>
  <c r="L22" i="1"/>
  <c r="L305" i="1" s="1"/>
  <c r="L306" i="1" s="1"/>
  <c r="F347" i="1"/>
  <c r="AL7" i="2"/>
  <c r="AL18" i="2" s="1"/>
  <c r="AM10" i="2"/>
  <c r="AM7" i="2" s="1"/>
  <c r="AJ57" i="2"/>
  <c r="AL32" i="2"/>
  <c r="AK32" i="2"/>
  <c r="AK54" i="2"/>
  <c r="L7" i="1" s="1"/>
  <c r="AK18" i="2"/>
  <c r="J7" i="1"/>
  <c r="AI55" i="2"/>
  <c r="AJ55" i="2"/>
  <c r="K14" i="1"/>
  <c r="K158" i="1" s="1"/>
  <c r="J22" i="1"/>
  <c r="J305" i="1" s="1"/>
  <c r="J306" i="1" s="1"/>
  <c r="J23" i="1" s="1"/>
  <c r="J26" i="1" s="1"/>
  <c r="J30" i="1" s="1"/>
  <c r="J32" i="1" s="1"/>
  <c r="K256" i="1"/>
  <c r="K255" i="1" s="1"/>
  <c r="L116" i="1" l="1"/>
  <c r="K105" i="1"/>
  <c r="AM54" i="2"/>
  <c r="B6" i="4"/>
  <c r="D6" i="4"/>
  <c r="K86" i="1"/>
  <c r="K101" i="1"/>
  <c r="AK56" i="2"/>
  <c r="M14" i="1" s="1"/>
  <c r="K110" i="1"/>
  <c r="K114" i="1"/>
  <c r="K119" i="1"/>
  <c r="K77" i="1"/>
  <c r="AM18" i="2"/>
  <c r="AM56" i="2" s="1"/>
  <c r="AL54" i="2"/>
  <c r="AL56" i="2"/>
  <c r="N14" i="1" s="1"/>
  <c r="L23" i="1"/>
  <c r="L26" i="1" s="1"/>
  <c r="L30" i="1" s="1"/>
  <c r="L32" i="1" s="1"/>
  <c r="L35" i="1" s="1"/>
  <c r="L315" i="1" s="1"/>
  <c r="F358" i="1" s="1"/>
  <c r="AK55" i="2"/>
  <c r="J109" i="1"/>
  <c r="J123" i="1"/>
  <c r="J104" i="1"/>
  <c r="J117" i="1"/>
  <c r="J115" i="1" s="1"/>
  <c r="J87" i="1"/>
  <c r="J124" i="1"/>
  <c r="J121" i="1"/>
  <c r="J88" i="1"/>
  <c r="J111" i="1"/>
  <c r="J112" i="1"/>
  <c r="J102" i="1"/>
  <c r="J107" i="1"/>
  <c r="J242" i="1"/>
  <c r="J241" i="1" s="1"/>
  <c r="J247" i="1" s="1"/>
  <c r="K247" i="1" s="1"/>
  <c r="J73" i="1"/>
  <c r="J76" i="1"/>
  <c r="J113" i="1"/>
  <c r="J80" i="1"/>
  <c r="J78" i="1"/>
  <c r="J103" i="1"/>
  <c r="J79" i="1"/>
  <c r="J81" i="1"/>
  <c r="J125" i="1"/>
  <c r="J106" i="1"/>
  <c r="K116" i="1"/>
  <c r="K115" i="1" s="1"/>
  <c r="K157" i="1"/>
  <c r="K16" i="1" s="1"/>
  <c r="K15" i="1" s="1"/>
  <c r="E347" i="1" s="1"/>
  <c r="L256" i="1"/>
  <c r="L255" i="1" s="1"/>
  <c r="J35" i="1"/>
  <c r="J315" i="1" s="1"/>
  <c r="J281" i="1"/>
  <c r="J283" i="1" s="1"/>
  <c r="B25" i="4" l="1"/>
  <c r="E6" i="4"/>
  <c r="AK57" i="2"/>
  <c r="AL57" i="2"/>
  <c r="AM55" i="2"/>
  <c r="AL55" i="2"/>
  <c r="M7" i="1"/>
  <c r="M121" i="1" s="1"/>
  <c r="N158" i="1"/>
  <c r="J119" i="1"/>
  <c r="J322" i="1" s="1"/>
  <c r="AM57" i="2"/>
  <c r="N7" i="1"/>
  <c r="D358" i="1"/>
  <c r="M359" i="1" s="1"/>
  <c r="J105" i="1"/>
  <c r="J321" i="1" s="1"/>
  <c r="N361" i="1"/>
  <c r="M361" i="1"/>
  <c r="O361" i="1" s="1"/>
  <c r="L281" i="1"/>
  <c r="J110" i="1"/>
  <c r="J77" i="1"/>
  <c r="J330" i="1"/>
  <c r="K330" i="1"/>
  <c r="J318" i="1"/>
  <c r="K318" i="1"/>
  <c r="J86" i="1"/>
  <c r="K317" i="1"/>
  <c r="J317" i="1"/>
  <c r="J74" i="1"/>
  <c r="M88" i="1"/>
  <c r="M109" i="1"/>
  <c r="M87" i="1"/>
  <c r="M124" i="1"/>
  <c r="M242" i="1"/>
  <c r="M241" i="1" s="1"/>
  <c r="D263" i="1" s="1"/>
  <c r="M263" i="1" s="1"/>
  <c r="M123" i="1"/>
  <c r="D260" i="1"/>
  <c r="K22" i="1"/>
  <c r="K305" i="1" s="1"/>
  <c r="K306" i="1" s="1"/>
  <c r="K23" i="1" s="1"/>
  <c r="K26" i="1" s="1"/>
  <c r="K30" i="1" s="1"/>
  <c r="K32" i="1" s="1"/>
  <c r="L88" i="1"/>
  <c r="L123" i="1"/>
  <c r="L102" i="1"/>
  <c r="L80" i="1"/>
  <c r="L73" i="1"/>
  <c r="L112" i="1"/>
  <c r="L79" i="1"/>
  <c r="L111" i="1"/>
  <c r="L121" i="1"/>
  <c r="L107" i="1"/>
  <c r="L78" i="1"/>
  <c r="L103" i="1"/>
  <c r="L124" i="1"/>
  <c r="L113" i="1"/>
  <c r="L125" i="1"/>
  <c r="L117" i="1"/>
  <c r="L115" i="1" s="1"/>
  <c r="L104" i="1"/>
  <c r="L242" i="1"/>
  <c r="L241" i="1" s="1"/>
  <c r="D262" i="1" s="1"/>
  <c r="L262" i="1" s="1"/>
  <c r="L76" i="1"/>
  <c r="L106" i="1"/>
  <c r="L81" i="1"/>
  <c r="L87" i="1"/>
  <c r="L109" i="1"/>
  <c r="K126" i="1"/>
  <c r="K127" i="1" s="1"/>
  <c r="J101" i="1"/>
  <c r="M158" i="1"/>
  <c r="M256" i="1"/>
  <c r="M255" i="1" s="1"/>
  <c r="J137" i="1"/>
  <c r="J332" i="1" s="1"/>
  <c r="K280" i="1"/>
  <c r="E4" i="4" l="1"/>
  <c r="E12" i="4"/>
  <c r="E15" i="4"/>
  <c r="E23" i="4"/>
  <c r="E20" i="4"/>
  <c r="E16" i="4"/>
  <c r="E5" i="4"/>
  <c r="E21" i="4"/>
  <c r="E18" i="4"/>
  <c r="E22" i="4"/>
  <c r="E9" i="4"/>
  <c r="E13" i="4"/>
  <c r="E19" i="4"/>
  <c r="E17" i="4"/>
  <c r="E14" i="4"/>
  <c r="E3" i="4"/>
  <c r="B28" i="4"/>
  <c r="B29" i="4" s="1"/>
  <c r="M106" i="1"/>
  <c r="K321" i="1"/>
  <c r="M103" i="1"/>
  <c r="M73" i="1"/>
  <c r="M74" i="1" s="1"/>
  <c r="M102" i="1"/>
  <c r="M111" i="1"/>
  <c r="M78" i="1"/>
  <c r="M79" i="1"/>
  <c r="M112" i="1"/>
  <c r="M107" i="1"/>
  <c r="J331" i="1"/>
  <c r="J114" i="1"/>
  <c r="J126" i="1"/>
  <c r="M86" i="1"/>
  <c r="M80" i="1"/>
  <c r="M125" i="1"/>
  <c r="M119" i="1" s="1"/>
  <c r="M81" i="1"/>
  <c r="M117" i="1"/>
  <c r="M104" i="1"/>
  <c r="M113" i="1"/>
  <c r="M76" i="1"/>
  <c r="M318" i="1" s="1"/>
  <c r="K331" i="1"/>
  <c r="K322" i="1"/>
  <c r="N125" i="1"/>
  <c r="N78" i="1"/>
  <c r="N109" i="1"/>
  <c r="N81" i="1"/>
  <c r="N87" i="1"/>
  <c r="N106" i="1"/>
  <c r="N88" i="1"/>
  <c r="N107" i="1"/>
  <c r="N111" i="1"/>
  <c r="N117" i="1"/>
  <c r="N121" i="1"/>
  <c r="N79" i="1"/>
  <c r="N80" i="1"/>
  <c r="N242" i="1"/>
  <c r="N241" i="1" s="1"/>
  <c r="D264" i="1" s="1"/>
  <c r="N264" i="1" s="1"/>
  <c r="N123" i="1"/>
  <c r="N124" i="1"/>
  <c r="N102" i="1"/>
  <c r="N73" i="1"/>
  <c r="N74" i="1" s="1"/>
  <c r="N103" i="1"/>
  <c r="N76" i="1"/>
  <c r="N104" i="1"/>
  <c r="N112" i="1"/>
  <c r="N113" i="1"/>
  <c r="L101" i="1"/>
  <c r="L320" i="1" s="1"/>
  <c r="N116" i="1"/>
  <c r="N157" i="1"/>
  <c r="N16" i="1" s="1"/>
  <c r="N15" i="1" s="1"/>
  <c r="J260" i="1"/>
  <c r="J265" i="1" s="1"/>
  <c r="L86" i="1"/>
  <c r="L326" i="1" s="1"/>
  <c r="L105" i="1"/>
  <c r="L321" i="1" s="1"/>
  <c r="L318" i="1"/>
  <c r="J326" i="1"/>
  <c r="K326" i="1"/>
  <c r="M116" i="1"/>
  <c r="M157" i="1"/>
  <c r="M16" i="1" s="1"/>
  <c r="M15" i="1" s="1"/>
  <c r="G347" i="1" s="1"/>
  <c r="L74" i="1"/>
  <c r="L317" i="1"/>
  <c r="J84" i="1"/>
  <c r="J320" i="1"/>
  <c r="K320" i="1"/>
  <c r="L77" i="1"/>
  <c r="L330" i="1"/>
  <c r="L119" i="1"/>
  <c r="L110" i="1"/>
  <c r="K35" i="1"/>
  <c r="K315" i="1" s="1"/>
  <c r="E358" i="1" s="1"/>
  <c r="K281" i="1"/>
  <c r="K283" i="1" s="1"/>
  <c r="K319" i="1"/>
  <c r="J319" i="1"/>
  <c r="M317" i="1" l="1"/>
  <c r="M105" i="1"/>
  <c r="M110" i="1"/>
  <c r="M101" i="1"/>
  <c r="M320" i="1" s="1"/>
  <c r="J127" i="1"/>
  <c r="J138" i="1" s="1"/>
  <c r="M77" i="1"/>
  <c r="M319" i="1" s="1"/>
  <c r="N110" i="1"/>
  <c r="M115" i="1"/>
  <c r="M330" i="1" s="1"/>
  <c r="N318" i="1"/>
  <c r="N115" i="1"/>
  <c r="N317" i="1"/>
  <c r="M126" i="1"/>
  <c r="N101" i="1"/>
  <c r="N119" i="1"/>
  <c r="N322" i="1" s="1"/>
  <c r="N86" i="1"/>
  <c r="N326" i="1" s="1"/>
  <c r="N105" i="1"/>
  <c r="N321" i="1" s="1"/>
  <c r="H347" i="1"/>
  <c r="N22" i="1"/>
  <c r="N305" i="1" s="1"/>
  <c r="N306" i="1" s="1"/>
  <c r="N23" i="1" s="1"/>
  <c r="N26" i="1" s="1"/>
  <c r="N30" i="1" s="1"/>
  <c r="N32" i="1" s="1"/>
  <c r="N77" i="1"/>
  <c r="M326" i="1"/>
  <c r="L114" i="1"/>
  <c r="J248" i="1"/>
  <c r="J85" i="1" s="1"/>
  <c r="J316" i="1"/>
  <c r="J323" i="1" s="1"/>
  <c r="D345" i="1" s="1"/>
  <c r="N359" i="1"/>
  <c r="O359" i="1" s="1"/>
  <c r="M360" i="1"/>
  <c r="N360" i="1"/>
  <c r="K137" i="1"/>
  <c r="K332" i="1" s="1"/>
  <c r="K333" i="1" s="1"/>
  <c r="L280" i="1"/>
  <c r="L283" i="1" s="1"/>
  <c r="L137" i="1" s="1"/>
  <c r="M114" i="1"/>
  <c r="M322" i="1"/>
  <c r="M331" i="1"/>
  <c r="L331" i="1"/>
  <c r="L322" i="1"/>
  <c r="L126" i="1"/>
  <c r="K84" i="1"/>
  <c r="L247" i="1"/>
  <c r="L319" i="1"/>
  <c r="M22" i="1"/>
  <c r="M305" i="1" s="1"/>
  <c r="M306" i="1" s="1"/>
  <c r="M23" i="1" s="1"/>
  <c r="M26" i="1" s="1"/>
  <c r="M30" i="1" s="1"/>
  <c r="M32" i="1" s="1"/>
  <c r="M321" i="1"/>
  <c r="N320" i="1" l="1"/>
  <c r="M127" i="1"/>
  <c r="N330" i="1"/>
  <c r="N319" i="1"/>
  <c r="N331" i="1"/>
  <c r="N126" i="1"/>
  <c r="N114" i="1"/>
  <c r="L127" i="1"/>
  <c r="O360" i="1"/>
  <c r="N35" i="1"/>
  <c r="N315" i="1" s="1"/>
  <c r="H358" i="1" s="1"/>
  <c r="N281" i="1"/>
  <c r="J249" i="1"/>
  <c r="J83" i="1" s="1"/>
  <c r="J325" i="1" s="1"/>
  <c r="J328" i="1" s="1"/>
  <c r="D346" i="1" s="1"/>
  <c r="D348" i="1" s="1"/>
  <c r="D349" i="1" s="1"/>
  <c r="M247" i="1"/>
  <c r="L84" i="1"/>
  <c r="M280" i="1"/>
  <c r="M35" i="1"/>
  <c r="M315" i="1" s="1"/>
  <c r="G358" i="1" s="1"/>
  <c r="M362" i="1" s="1"/>
  <c r="M281" i="1"/>
  <c r="L332" i="1"/>
  <c r="L333" i="1" s="1"/>
  <c r="N127" i="1" l="1"/>
  <c r="J70" i="1"/>
  <c r="J82" i="1" s="1"/>
  <c r="J97" i="1"/>
  <c r="M84" i="1"/>
  <c r="N247" i="1"/>
  <c r="N84" i="1" s="1"/>
  <c r="M363" i="1"/>
  <c r="N363" i="1"/>
  <c r="N362" i="1"/>
  <c r="M283" i="1"/>
  <c r="J98" i="1" l="1"/>
  <c r="J153" i="1" s="1"/>
  <c r="M137" i="1"/>
  <c r="M332" i="1" s="1"/>
  <c r="M333" i="1" s="1"/>
  <c r="N280" i="1"/>
  <c r="N283" i="1" s="1"/>
  <c r="N137" i="1" s="1"/>
  <c r="O363" i="1"/>
  <c r="O362" i="1"/>
  <c r="K138" i="1"/>
  <c r="L138" i="1"/>
  <c r="J333" i="1"/>
  <c r="J336" i="1" s="1"/>
  <c r="M138" i="1" l="1"/>
  <c r="N332" i="1"/>
  <c r="N333" i="1" s="1"/>
  <c r="N138" i="1"/>
  <c r="K70" i="1" l="1"/>
  <c r="L70" i="1"/>
  <c r="M70" i="1"/>
  <c r="N70" i="1"/>
  <c r="K82" i="1"/>
  <c r="L82" i="1"/>
  <c r="M82" i="1"/>
  <c r="N82" i="1"/>
  <c r="K83" i="1"/>
  <c r="L83" i="1"/>
  <c r="M83" i="1"/>
  <c r="N83" i="1"/>
  <c r="K85" i="1"/>
  <c r="L85" i="1"/>
  <c r="M85" i="1"/>
  <c r="N85" i="1"/>
  <c r="K97" i="1"/>
  <c r="L97" i="1"/>
  <c r="M97" i="1"/>
  <c r="N97" i="1"/>
  <c r="K98" i="1"/>
  <c r="L98" i="1"/>
  <c r="M98" i="1"/>
  <c r="N98" i="1"/>
  <c r="K153" i="1"/>
  <c r="L153" i="1"/>
  <c r="M153" i="1"/>
  <c r="N153" i="1"/>
  <c r="K248" i="1"/>
  <c r="L248" i="1"/>
  <c r="M248" i="1"/>
  <c r="N248" i="1"/>
  <c r="K249" i="1"/>
  <c r="L249" i="1"/>
  <c r="M249" i="1"/>
  <c r="N249" i="1"/>
  <c r="K260" i="1"/>
  <c r="L260" i="1"/>
  <c r="M260" i="1"/>
  <c r="N260" i="1"/>
  <c r="L261" i="1"/>
  <c r="M261" i="1"/>
  <c r="N261" i="1"/>
  <c r="M262" i="1"/>
  <c r="N262" i="1"/>
  <c r="N263" i="1"/>
  <c r="K265" i="1"/>
  <c r="L265" i="1"/>
  <c r="M265" i="1"/>
  <c r="N265" i="1"/>
  <c r="K316" i="1"/>
  <c r="L316" i="1"/>
  <c r="M316" i="1"/>
  <c r="N316" i="1"/>
  <c r="K323" i="1"/>
  <c r="L323" i="1"/>
  <c r="M323" i="1"/>
  <c r="N323" i="1"/>
  <c r="K325" i="1"/>
  <c r="L325" i="1"/>
  <c r="M325" i="1"/>
  <c r="N325" i="1"/>
  <c r="K328" i="1"/>
  <c r="L328" i="1"/>
  <c r="M328" i="1"/>
  <c r="N328" i="1"/>
  <c r="K336" i="1"/>
  <c r="L336" i="1"/>
  <c r="M336" i="1"/>
  <c r="N336" i="1"/>
  <c r="E345" i="1"/>
  <c r="F345" i="1"/>
  <c r="G345" i="1"/>
  <c r="H345" i="1"/>
  <c r="E346" i="1"/>
  <c r="F346" i="1"/>
  <c r="G346" i="1"/>
  <c r="H346" i="1"/>
  <c r="E348" i="1"/>
  <c r="F348" i="1"/>
  <c r="G348" i="1"/>
  <c r="H348" i="1"/>
  <c r="I348" i="1"/>
  <c r="E349" i="1"/>
  <c r="F349" i="1"/>
  <c r="G349" i="1"/>
  <c r="H349" i="1"/>
  <c r="I349" i="1"/>
  <c r="C350" i="1"/>
  <c r="C352" i="1"/>
  <c r="C354" i="1"/>
  <c r="I36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Nachman, David</author>
  </authors>
  <commentList>
    <comment ref="I252" authorId="0" shapeId="0" xr:uid="{FB8E9A47-E821-49F6-8356-4AA5A4AB4A8C}">
      <text>
        <r>
          <rPr>
            <b/>
            <sz val="9"/>
            <color indexed="81"/>
            <rFont val="Tahoma"/>
            <family val="2"/>
          </rPr>
          <t>Nachman, David:</t>
        </r>
        <r>
          <rPr>
            <sz val="9"/>
            <color indexed="81"/>
            <rFont val="Tahoma"/>
            <family val="2"/>
          </rPr>
          <t xml:space="preserve">
most recent useful life for estimates
</t>
        </r>
      </text>
    </comment>
    <comment ref="P346" authorId="0" shapeId="0" xr:uid="{E0DD2D88-AD33-4BDE-94A8-B51DED81B21B}">
      <text>
        <r>
          <rPr>
            <b/>
            <sz val="9"/>
            <color indexed="81"/>
            <rFont val="Tahoma"/>
            <family val="2"/>
          </rPr>
          <t>Nachman, David:</t>
        </r>
        <r>
          <rPr>
            <sz val="9"/>
            <color indexed="81"/>
            <rFont val="Tahoma"/>
            <family val="2"/>
          </rPr>
          <t xml:space="preserve">
WACC is 8% per bloomberg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Nachman, David</author>
  </authors>
  <commentList>
    <comment ref="Z36" authorId="0" shapeId="0" xr:uid="{42EC3640-E115-4F4B-8EAA-05DDAF9A4E36}">
      <text>
        <r>
          <rPr>
            <b/>
            <sz val="9"/>
            <color indexed="81"/>
            <rFont val="Tahoma"/>
            <family val="2"/>
          </rPr>
          <t>Nachman, David:</t>
        </r>
        <r>
          <rPr>
            <sz val="9"/>
            <color indexed="81"/>
            <rFont val="Tahoma"/>
            <family val="2"/>
          </rPr>
          <t xml:space="preserve">
Division class change these numbers are not accurate</t>
        </r>
      </text>
    </comment>
    <comment ref="Y54" authorId="0" shapeId="0" xr:uid="{05DA7578-2F19-4E9C-AA8E-D6FFF4CA3AC2}">
      <text>
        <r>
          <rPr>
            <b/>
            <sz val="9"/>
            <color indexed="81"/>
            <rFont val="Tahoma"/>
            <family val="2"/>
          </rPr>
          <t>Nachman, David:</t>
        </r>
        <r>
          <rPr>
            <sz val="9"/>
            <color indexed="81"/>
            <rFont val="Tahoma"/>
            <family val="2"/>
          </rPr>
          <t xml:space="preserve">
Contracting reclassification these numbers are smaller then group acctually was</t>
        </r>
      </text>
    </comment>
  </commentList>
</comments>
</file>

<file path=xl/sharedStrings.xml><?xml version="1.0" encoding="utf-8"?>
<sst xmlns="http://schemas.openxmlformats.org/spreadsheetml/2006/main" count="688" uniqueCount="300">
  <si>
    <t>Vinci SA (DG FP) - BBG GAAP</t>
  </si>
  <si>
    <t>In Millions of EUR except Per Share</t>
  </si>
  <si>
    <t>FY 2017</t>
  </si>
  <si>
    <t>FY 2018</t>
  </si>
  <si>
    <t>FY 2019</t>
  </si>
  <si>
    <t>FY 2020</t>
  </si>
  <si>
    <t>FY 2021</t>
  </si>
  <si>
    <t>FY 2022</t>
  </si>
  <si>
    <t>FY 2023</t>
  </si>
  <si>
    <t>FY 2024 Est</t>
  </si>
  <si>
    <t>FY 2025 Est</t>
  </si>
  <si>
    <t>12 Months Ending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</si>
  <si>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</si>
  <si>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</si>
  <si>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</si>
  <si>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</si>
  <si>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</si>
  <si>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</si>
  <si>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</si>
  <si>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</si>
  <si>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</si>
  <si>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Revenue</t>
  </si>
  <si>
    <t xml:space="preserve">    + Sales &amp; Services Revenue</t>
  </si>
  <si>
    <t xml:space="preserve">    + Other Revenue</t>
  </si>
  <si>
    <t>—</t>
  </si>
  <si>
    <t xml:space="preserve">  + Other Operating Income</t>
  </si>
  <si>
    <t xml:space="preserve">  - Operating Expenses</t>
  </si>
  <si>
    <t xml:space="preserve">    + Research &amp; Development</t>
  </si>
  <si>
    <t xml:space="preserve">    + Other Operating Expense</t>
  </si>
  <si>
    <t>Operating Income (Loss)</t>
  </si>
  <si>
    <t xml:space="preserve">  - Non-Operating (Income) Loss</t>
  </si>
  <si>
    <t xml:space="preserve">    + Interest Expense, Net</t>
  </si>
  <si>
    <t xml:space="preserve">    + Interest Expense</t>
  </si>
  <si>
    <t xml:space="preserve">    - Interest Income</t>
  </si>
  <si>
    <t xml:space="preserve">    + Foreign Exch (Gain) Loss</t>
  </si>
  <si>
    <t xml:space="preserve">    + (Income) Loss from Affiliates</t>
  </si>
  <si>
    <t xml:space="preserve">    + Other Non-Op (Income) Loss</t>
  </si>
  <si>
    <t>Pretax Income</t>
  </si>
  <si>
    <t xml:space="preserve">  - Income Tax Expense (Benefit)</t>
  </si>
  <si>
    <t xml:space="preserve">    + Current Income Tax</t>
  </si>
  <si>
    <t xml:space="preserve">    + Deferred Income Tax</t>
  </si>
  <si>
    <t>Income (Loss) from Cont Ops</t>
  </si>
  <si>
    <t xml:space="preserve">  - Net Extraordinary Losses (Gains)</t>
  </si>
  <si>
    <t xml:space="preserve">    + Discontinued Operations</t>
  </si>
  <si>
    <t xml:space="preserve">    + XO &amp; Accounting Changes</t>
  </si>
  <si>
    <t>Income (Loss) Incl. MI</t>
  </si>
  <si>
    <t xml:space="preserve">  - Minority Interest</t>
  </si>
  <si>
    <t>Net Income, GAAP</t>
  </si>
  <si>
    <t xml:space="preserve">  - Preferred Dividends</t>
  </si>
  <si>
    <t xml:space="preserve">  - Other Adjustments</t>
  </si>
  <si>
    <t>Net Income Avail to Common, GAAP</t>
  </si>
  <si>
    <t>Reference Items</t>
  </si>
  <si>
    <t>Accounting Standard</t>
  </si>
  <si>
    <t>IAS/IFRS</t>
  </si>
  <si>
    <t>EBITDA</t>
  </si>
  <si>
    <t>EBITDA Margin (T12M)</t>
  </si>
  <si>
    <t>EBITA</t>
  </si>
  <si>
    <t>EBIT</t>
  </si>
  <si>
    <t>Operating Margin</t>
  </si>
  <si>
    <t>Profit Margin</t>
  </si>
  <si>
    <t>Sales per Employee</t>
  </si>
  <si>
    <t>Dividends per Share</t>
  </si>
  <si>
    <t>Total Cash Common Dividends</t>
  </si>
  <si>
    <t>Capitalized Interest Expense</t>
  </si>
  <si>
    <t>Personnel Expenses</t>
  </si>
  <si>
    <t>Depreciation Expense</t>
  </si>
  <si>
    <t>FY 2026 Est</t>
  </si>
  <si>
    <t>FY 2027 Est</t>
  </si>
  <si>
    <t>x</t>
  </si>
  <si>
    <t>FY 2014</t>
  </si>
  <si>
    <t>FY 2015</t>
  </si>
  <si>
    <t>FY 2016</t>
  </si>
  <si>
    <t>Total Assets</t>
  </si>
  <si>
    <t xml:space="preserve">  + Cash, Cash Equivalents &amp; STI</t>
  </si>
  <si>
    <t xml:space="preserve">    + Cash &amp; Cash Equivalents</t>
  </si>
  <si>
    <t xml:space="preserve">    + ST Investments</t>
  </si>
  <si>
    <t xml:space="preserve">  + Accounts &amp; Notes Receiv</t>
  </si>
  <si>
    <t xml:space="preserve">    + Accounts Receivable, Net</t>
  </si>
  <si>
    <t xml:space="preserve">    + Notes Receivable, Net</t>
  </si>
  <si>
    <t xml:space="preserve">  + Inventories</t>
  </si>
  <si>
    <t xml:space="preserve">  + Other ST Assets</t>
  </si>
  <si>
    <t xml:space="preserve">    + Derivative &amp; Hedging Assets</t>
  </si>
  <si>
    <t xml:space="preserve">    + Assets Held-for-Sale</t>
  </si>
  <si>
    <t xml:space="preserve">    + Taxes Receivable</t>
  </si>
  <si>
    <t xml:space="preserve">    + Misc ST Assets</t>
  </si>
  <si>
    <t>Total Current Assets</t>
  </si>
  <si>
    <t xml:space="preserve">  + Property, Plant &amp; Equip, Net</t>
  </si>
  <si>
    <t xml:space="preserve">    + Property, Plant &amp; Equip</t>
  </si>
  <si>
    <t xml:space="preserve">    - Accumulated Depreciation</t>
  </si>
  <si>
    <t xml:space="preserve">  + LT Investments &amp; Receivables</t>
  </si>
  <si>
    <t xml:space="preserve">    + LT Investments</t>
  </si>
  <si>
    <t xml:space="preserve">    + LT Receivables</t>
  </si>
  <si>
    <t xml:space="preserve">  + Other LT Assets</t>
  </si>
  <si>
    <t xml:space="preserve">    + Total Intangible Assets</t>
  </si>
  <si>
    <t xml:space="preserve">    + Goodwill</t>
  </si>
  <si>
    <t xml:space="preserve">    + Other Intangible Assets</t>
  </si>
  <si>
    <t xml:space="preserve">    + Deferred Tax Assets</t>
  </si>
  <si>
    <t xml:space="preserve">    + Investments in Affiliates</t>
  </si>
  <si>
    <t xml:space="preserve">    + Misc LT Assets</t>
  </si>
  <si>
    <t>Total Noncurrent Assets</t>
  </si>
  <si>
    <t>Liabilities &amp; Shareholders' Equity</t>
  </si>
  <si>
    <t xml:space="preserve">  + Payables &amp; Accruals</t>
  </si>
  <si>
    <t xml:space="preserve">    + Accounts Payable</t>
  </si>
  <si>
    <t xml:space="preserve">    + Accrued Taxes</t>
  </si>
  <si>
    <t xml:space="preserve">    + Other Payables &amp; Accruals</t>
  </si>
  <si>
    <t xml:space="preserve">  + ST Debt</t>
  </si>
  <si>
    <t xml:space="preserve">    + ST Borrowings</t>
  </si>
  <si>
    <t xml:space="preserve">    + ST Lease Liabilities</t>
  </si>
  <si>
    <t xml:space="preserve">      + ST Finance Leases</t>
  </si>
  <si>
    <t xml:space="preserve">    + Current Portion of LT Debt</t>
  </si>
  <si>
    <t xml:space="preserve">  + Other ST Liabilities</t>
  </si>
  <si>
    <t xml:space="preserve">    + Deferred Revenue</t>
  </si>
  <si>
    <t xml:space="preserve">    + Derivatives &amp; Hedging</t>
  </si>
  <si>
    <t xml:space="preserve">    + Misc ST Liabilities</t>
  </si>
  <si>
    <t>Total Current Liabilities</t>
  </si>
  <si>
    <t xml:space="preserve">  + LT Debt</t>
  </si>
  <si>
    <t xml:space="preserve">    + LT Borrowings</t>
  </si>
  <si>
    <t xml:space="preserve">    + LT Lease Liabilities</t>
  </si>
  <si>
    <t xml:space="preserve">      + LT Finance Leases</t>
  </si>
  <si>
    <t xml:space="preserve">  + Other LT Liabilities</t>
  </si>
  <si>
    <t xml:space="preserve">    + Accrued Liabilities</t>
  </si>
  <si>
    <t xml:space="preserve">    + Pension Liabilities</t>
  </si>
  <si>
    <t xml:space="preserve">    + Deferred Tax Liabilities</t>
  </si>
  <si>
    <t xml:space="preserve">    + Misc LT Liabilities</t>
  </si>
  <si>
    <t>Total Noncurrent Liabilities</t>
  </si>
  <si>
    <t>Total Liabilities</t>
  </si>
  <si>
    <t xml:space="preserve">  + Preferred Equity and Hybrid Capital</t>
  </si>
  <si>
    <t xml:space="preserve">  + Share Capital &amp; APIC</t>
  </si>
  <si>
    <t xml:space="preserve">    + Common Stock</t>
  </si>
  <si>
    <t xml:space="preserve">    + Additional Paid in Capital</t>
  </si>
  <si>
    <t xml:space="preserve">  - Treasury Stock</t>
  </si>
  <si>
    <t xml:space="preserve">  + Retained Earnings</t>
  </si>
  <si>
    <t xml:space="preserve">  + Other Equity</t>
  </si>
  <si>
    <t>Equity Before Minority Interest</t>
  </si>
  <si>
    <t xml:space="preserve">  + Minority/Non Controlling Interest</t>
  </si>
  <si>
    <t>Total Equity</t>
  </si>
  <si>
    <t>Total Liabilities &amp; Equity</t>
  </si>
  <si>
    <t>Shares Outstanding</t>
  </si>
  <si>
    <t>Number of Treasury Shares</t>
  </si>
  <si>
    <t>Pension Obligations</t>
  </si>
  <si>
    <t>Future Minimum Operating Lease Obligations</t>
  </si>
  <si>
    <t>Capital Leases - Total</t>
  </si>
  <si>
    <t>Options Granted During Period</t>
  </si>
  <si>
    <t>Options Outstanding at Period End</t>
  </si>
  <si>
    <t>Net Debt</t>
  </si>
  <si>
    <t>Net Debt to Equity</t>
  </si>
  <si>
    <t>Tangible Common Equity Ratio</t>
  </si>
  <si>
    <t>Current Ratio</t>
  </si>
  <si>
    <t>Concessions</t>
  </si>
  <si>
    <t xml:space="preserve">  Revenue</t>
  </si>
  <si>
    <t xml:space="preserve">  Operating Income</t>
  </si>
  <si>
    <t>VINCI Immobilier &amp; Holding Companies</t>
  </si>
  <si>
    <t>VINCI Construction</t>
  </si>
  <si>
    <t>Energy</t>
  </si>
  <si>
    <t>Cobra IS</t>
  </si>
  <si>
    <t>Contracting</t>
  </si>
  <si>
    <t xml:space="preserve">                Road</t>
  </si>
  <si>
    <t xml:space="preserve">                Air</t>
  </si>
  <si>
    <t xml:space="preserve">                Other</t>
  </si>
  <si>
    <t xml:space="preserve">                Park</t>
  </si>
  <si>
    <t>%growth</t>
  </si>
  <si>
    <t>% growth</t>
  </si>
  <si>
    <t xml:space="preserve">  Operating margin</t>
  </si>
  <si>
    <t>Operating Income</t>
  </si>
  <si>
    <t>Group</t>
  </si>
  <si>
    <t>Expense</t>
  </si>
  <si>
    <t>Debt</t>
  </si>
  <si>
    <t>COMMON SIZE</t>
  </si>
  <si>
    <t>hard coded</t>
  </si>
  <si>
    <t>PPE DEPRECIATION AND CAPEX SCHEDULE</t>
  </si>
  <si>
    <t>Tax Schedule</t>
  </si>
  <si>
    <t>Tax Expense</t>
  </si>
  <si>
    <t>Tax %</t>
  </si>
  <si>
    <t>PPE GROSS</t>
  </si>
  <si>
    <t>Less A/D</t>
  </si>
  <si>
    <t>PPE NET</t>
  </si>
  <si>
    <t>AVG GROSS PPE</t>
  </si>
  <si>
    <t>DEPRECIATION EXPENSE</t>
  </si>
  <si>
    <t>USEFUL LIFE</t>
  </si>
  <si>
    <t>Remaining Balance</t>
  </si>
  <si>
    <t>Depreciation on Assets in Place</t>
  </si>
  <si>
    <t>Capex</t>
  </si>
  <si>
    <t>Sales</t>
  </si>
  <si>
    <t>% of sales</t>
  </si>
  <si>
    <t>Depreciation for CapEx</t>
  </si>
  <si>
    <t>Year</t>
  </si>
  <si>
    <t>CapEx</t>
  </si>
  <si>
    <t>Salvage%</t>
  </si>
  <si>
    <t>Life</t>
  </si>
  <si>
    <t>Equity Schedule</t>
  </si>
  <si>
    <t>BOP</t>
  </si>
  <si>
    <t>Net Income</t>
  </si>
  <si>
    <t>Dividends</t>
  </si>
  <si>
    <t>EOP</t>
  </si>
  <si>
    <t>Interest Expense and debt</t>
  </si>
  <si>
    <t>%</t>
  </si>
  <si>
    <t>Debt/Operating Income</t>
  </si>
  <si>
    <t>Check A=L+e</t>
  </si>
  <si>
    <t>Statement of Cash flows</t>
  </si>
  <si>
    <t>Depreciation</t>
  </si>
  <si>
    <t>change in  + Accounts &amp; Notes Receiv</t>
  </si>
  <si>
    <t>change in  + Inventories</t>
  </si>
  <si>
    <t>change in  + Other ST Assets</t>
  </si>
  <si>
    <t>change in  + Property, Plant &amp; Equip, Net</t>
  </si>
  <si>
    <t>change in  + LT Investments &amp; Receivables</t>
  </si>
  <si>
    <t>change in  + Other LT Assets</t>
  </si>
  <si>
    <t>change in  + Payables &amp; Accruals</t>
  </si>
  <si>
    <t>change in  + ST Debt</t>
  </si>
  <si>
    <t>change in  + Other ST Liabilities</t>
  </si>
  <si>
    <t>change in  + LT Debt</t>
  </si>
  <si>
    <t>change in  + Other LT Liabilities</t>
  </si>
  <si>
    <t>change inTotal Equity</t>
  </si>
  <si>
    <t xml:space="preserve">                               Operating:</t>
  </si>
  <si>
    <t xml:space="preserve">                             Investing:</t>
  </si>
  <si>
    <t xml:space="preserve">                          Financing:</t>
  </si>
  <si>
    <t>Cash Flow From Operations</t>
  </si>
  <si>
    <t>Cash Flow From Investing</t>
  </si>
  <si>
    <t>Cash Flow From Financing:</t>
  </si>
  <si>
    <t>Total Cash Flow</t>
  </si>
  <si>
    <t>Free Cash Flows To Equity</t>
  </si>
  <si>
    <t>FCF</t>
  </si>
  <si>
    <t>Operating Cash Flow</t>
  </si>
  <si>
    <t>Investing Cash Flow</t>
  </si>
  <si>
    <t xml:space="preserve">Interest </t>
  </si>
  <si>
    <t>Discount Rate</t>
  </si>
  <si>
    <t>Present Value</t>
  </si>
  <si>
    <t>Terminal Growth</t>
  </si>
  <si>
    <t>Sum</t>
  </si>
  <si>
    <t>Shares outstanding</t>
  </si>
  <si>
    <t>Per Diluted Share</t>
  </si>
  <si>
    <t>P/E</t>
  </si>
  <si>
    <t>5Y AVG vs Comps</t>
  </si>
  <si>
    <t>5Y AVG vs Self</t>
  </si>
  <si>
    <t>Return</t>
  </si>
  <si>
    <t>Current Price</t>
  </si>
  <si>
    <t>P/E Relative Valuation</t>
  </si>
  <si>
    <t>Blended PT from EQRV and DCF</t>
  </si>
  <si>
    <t>Cobra IS Order Book</t>
  </si>
  <si>
    <t>Vinci Energies</t>
  </si>
  <si>
    <t>Cobra IS - Contracting</t>
  </si>
  <si>
    <t>Vinci Construction</t>
  </si>
  <si>
    <t>Cobra IS YoY Change</t>
  </si>
  <si>
    <t>Energies YoY Change</t>
  </si>
  <si>
    <t>Construction YoY Change</t>
  </si>
  <si>
    <t>Energies QoQ Change</t>
  </si>
  <si>
    <t>Construction QoQ Change</t>
  </si>
  <si>
    <t>Cobra IS QoQ Change</t>
  </si>
  <si>
    <t>Vinci Energies Order Book</t>
  </si>
  <si>
    <t>Vinci Construction Order Book</t>
  </si>
  <si>
    <t>2024 Q1</t>
  </si>
  <si>
    <t>2024E</t>
  </si>
  <si>
    <t>2025E</t>
  </si>
  <si>
    <t>2026E</t>
  </si>
  <si>
    <t>2027E</t>
  </si>
  <si>
    <t>FY 2028 Est</t>
  </si>
  <si>
    <t>Terminal</t>
  </si>
  <si>
    <t>Annual Return</t>
  </si>
  <si>
    <t/>
  </si>
  <si>
    <t>% SOTP</t>
  </si>
  <si>
    <t>ANA</t>
  </si>
  <si>
    <t>Lyon Airport</t>
  </si>
  <si>
    <t>ADP</t>
  </si>
  <si>
    <t>EV</t>
  </si>
  <si>
    <t>Business Line</t>
  </si>
  <si>
    <t>2025 EBIT</t>
  </si>
  <si>
    <t>Immobilier</t>
  </si>
  <si>
    <t>Value</t>
  </si>
  <si>
    <t>Minority Interest</t>
  </si>
  <si>
    <t>Cofiroute</t>
  </si>
  <si>
    <t>ASF</t>
  </si>
  <si>
    <t>ARCOUR</t>
  </si>
  <si>
    <t>Gatwick</t>
  </si>
  <si>
    <t>OMA</t>
  </si>
  <si>
    <t>Edinburgh Airport</t>
  </si>
  <si>
    <t>Northwest Parkway (Denver)</t>
  </si>
  <si>
    <t xml:space="preserve">Other concessions </t>
  </si>
  <si>
    <t>Polo Carmópolis</t>
  </si>
  <si>
    <t>Multiple/Method</t>
  </si>
  <si>
    <t>Tax</t>
  </si>
  <si>
    <t>Operating CF</t>
  </si>
  <si>
    <t>WACC</t>
  </si>
  <si>
    <t>NPV</t>
  </si>
  <si>
    <t>DCF</t>
  </si>
  <si>
    <t>MKT VAL</t>
  </si>
  <si>
    <t>TRANS VAL</t>
  </si>
  <si>
    <t>Equity Value</t>
  </si>
  <si>
    <t>Per Share</t>
  </si>
  <si>
    <t>Toll Revenue</t>
  </si>
  <si>
    <t>Growth %</t>
  </si>
  <si>
    <t>EBITDA Margin</t>
  </si>
  <si>
    <t>Tax Rate</t>
  </si>
  <si>
    <t>Capex % of Tolls</t>
  </si>
  <si>
    <t>CF</t>
  </si>
  <si>
    <t>Toll Revenues</t>
  </si>
  <si>
    <t>Capex % of tolls</t>
  </si>
  <si>
    <t>Revenues</t>
  </si>
  <si>
    <t>Capex % of revenue</t>
  </si>
  <si>
    <t>Termanil growth</t>
  </si>
  <si>
    <t>Currency Adjustment</t>
  </si>
  <si>
    <t>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</si>
</sst>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0.0%"/>
    <numFmt numFmtId="167" formatCode="0.00_);\(0.00\)"/>
    <numFmt numFmtId="168" formatCode="_(&quot;$&quot;* #,##0_);_(&quot;$&quot;* \(#,##0\);_(&quot;$&quot;* &quot;-&quot;??_);_(@_)"/>
  </numFmts>
  <fonts count="16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0"/>
      <color indexed="6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1" fillId="2" borderId="0"/>
    <xf numFmtId="0" fontId="2" fillId="2" borderId="1" applyNumberFormat="0" applyProtection="0">
      <alignment horizontal="left" vertical="center" readingOrder="1"/>
    </xf>
    <xf numFmtId="0" fontId="3" fillId="3" borderId="0" applyNumberFormat="0" applyBorder="0" applyProtection="0">
      <alignment horizontal="center"/>
    </xf>
    <xf numFmtId="0" fontId="4" fillId="2" borderId="2">
      <alignment horizontal="left"/>
    </xf>
    <xf numFmtId="0" fontId="4" fillId="2" borderId="2">
      <alignment horizontal="right"/>
    </xf>
    <xf numFmtId="0" fontId="4" fillId="2" borderId="3">
      <alignment horizontal="left"/>
    </xf>
    <xf numFmtId="0" fontId="4" fillId="2" borderId="3">
      <alignment horizontal="right"/>
    </xf>
    <xf numFmtId="0" fontId="5" fillId="3" borderId="4"/>
    <xf numFmtId="164" fontId="5" fillId="3" borderId="5">
      <alignment horizontal="right"/>
    </xf>
    <xf numFmtId="0" fontId="6" fillId="3" borderId="4"/>
    <xf numFmtId="164" fontId="7" fillId="3" borderId="5">
      <alignment horizontal="right"/>
    </xf>
    <xf numFmtId="0" fontId="8" fillId="3" borderId="4"/>
    <xf numFmtId="164" fontId="9" fillId="3" borderId="5">
      <alignment horizontal="right"/>
    </xf>
    <xf numFmtId="3" fontId="5" fillId="3" borderId="5">
      <alignment horizontal="right"/>
    </xf>
    <xf numFmtId="4" fontId="5" fillId="3" borderId="5">
      <alignment horizontal="right"/>
    </xf>
    <xf numFmtId="3" fontId="7" fillId="3" borderId="5">
      <alignment horizontal="right"/>
    </xf>
    <xf numFmtId="4" fontId="7" fillId="3" borderId="5">
      <alignment horizontal="right"/>
    </xf>
    <xf numFmtId="9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93">
    <xf numFmtId="0" fontId="0" fillId="0" borderId="0" xfId="0"/>
    <xf numFmtId="0" fontId="1" fillId="2" borderId="0" xfId="1"/>
    <xf numFmtId="0" fontId="2" fillId="2" borderId="1" xfId="2">
      <alignment horizontal="left" vertical="center" readingOrder="1"/>
    </xf>
    <xf numFmtId="0" fontId="3" fillId="3" borderId="0" xfId="3">
      <alignment horizontal="center"/>
    </xf>
    <xf numFmtId="0" fontId="4" fillId="2" borderId="2" xfId="4">
      <alignment horizontal="left"/>
    </xf>
    <xf numFmtId="0" fontId="4" fillId="2" borderId="2" xfId="5">
      <alignment horizontal="right"/>
    </xf>
    <xf numFmtId="0" fontId="4" fillId="2" borderId="3" xfId="6">
      <alignment horizontal="left"/>
    </xf>
    <xf numFmtId="0" fontId="4" fillId="2" borderId="3" xfId="7">
      <alignment horizontal="right"/>
    </xf>
    <xf numFmtId="0" fontId="5" fillId="3" borderId="4" xfId="8"/>
    <xf numFmtId="164" fontId="5" fillId="3" borderId="5" xfId="9">
      <alignment horizontal="right"/>
    </xf>
    <xf numFmtId="0" fontId="6" fillId="3" borderId="4" xfId="10"/>
    <xf numFmtId="164" fontId="7" fillId="3" borderId="5" xfId="11">
      <alignment horizontal="right"/>
    </xf>
    <xf numFmtId="0" fontId="8" fillId="3" borderId="4" xfId="12"/>
    <xf numFmtId="164" fontId="9" fillId="3" borderId="5" xfId="13">
      <alignment horizontal="right"/>
    </xf>
    <xf numFmtId="3" fontId="5" fillId="3" borderId="5" xfId="14">
      <alignment horizontal="right"/>
    </xf>
    <xf numFmtId="4" fontId="5" fillId="3" borderId="5" xfId="15">
      <alignment horizontal="right"/>
    </xf>
    <xf numFmtId="3" fontId="7" fillId="3" borderId="5" xfId="16">
      <alignment horizontal="right"/>
    </xf>
    <xf numFmtId="4" fontId="7" fillId="3" borderId="5" xfId="17">
      <alignment horizontal="right"/>
    </xf>
    <xf numFmtId="0" fontId="6" fillId="3" borderId="6" xfId="10" applyBorder="1"/>
    <xf numFmtId="164" fontId="7" fillId="3" borderId="3" xfId="11" applyBorder="1">
      <alignment horizontal="right"/>
    </xf>
    <xf numFmtId="164" fontId="0" fillId="0" borderId="0" xfId="0" applyNumberFormat="1"/>
    <xf numFmtId="0" fontId="6" fillId="4" borderId="4" xfId="10" applyFill="1"/>
    <xf numFmtId="10" fontId="0" fillId="0" borderId="0" xfId="18" applyNumberFormat="1" applyFont="1" applyFill="1"/>
    <xf numFmtId="10" fontId="7" fillId="3" borderId="5" xfId="18" applyNumberFormat="1" applyFont="1" applyFill="1" applyBorder="1" applyAlignment="1">
      <alignment horizontal="right"/>
    </xf>
    <xf numFmtId="10" fontId="0" fillId="0" borderId="0" xfId="18" applyNumberFormat="1" applyFont="1"/>
    <xf numFmtId="0" fontId="6" fillId="3" borderId="0" xfId="10" applyBorder="1"/>
    <xf numFmtId="43" fontId="0" fillId="0" borderId="0" xfId="0" applyNumberFormat="1"/>
    <xf numFmtId="0" fontId="0" fillId="5" borderId="0" xfId="0" applyFill="1"/>
    <xf numFmtId="9" fontId="0" fillId="0" borderId="0" xfId="18" applyFont="1"/>
    <xf numFmtId="166" fontId="0" fillId="5" borderId="0" xfId="18" applyNumberFormat="1" applyFont="1" applyFill="1"/>
    <xf numFmtId="10" fontId="9" fillId="3" borderId="5" xfId="18" applyNumberFormat="1" applyFont="1" applyFill="1" applyBorder="1" applyAlignment="1">
      <alignment horizontal="right"/>
    </xf>
    <xf numFmtId="10" fontId="5" fillId="3" borderId="5" xfId="18" applyNumberFormat="1" applyFont="1" applyFill="1" applyBorder="1" applyAlignment="1">
      <alignment horizontal="right"/>
    </xf>
    <xf numFmtId="8" fontId="0" fillId="0" borderId="0" xfId="0" applyNumberFormat="1"/>
    <xf numFmtId="0" fontId="14" fillId="0" borderId="0" xfId="0" applyFont="1"/>
    <xf numFmtId="10" fontId="7" fillId="5" borderId="5" xfId="18" applyNumberFormat="1" applyFont="1" applyFill="1" applyBorder="1" applyAlignment="1">
      <alignment horizontal="right"/>
    </xf>
    <xf numFmtId="10" fontId="9" fillId="5" borderId="5" xfId="18" applyNumberFormat="1" applyFont="1" applyFill="1" applyBorder="1" applyAlignment="1">
      <alignment horizontal="right"/>
    </xf>
    <xf numFmtId="9" fontId="0" fillId="5" borderId="0" xfId="0" applyNumberFormat="1" applyFill="1"/>
    <xf numFmtId="0" fontId="0" fillId="0" borderId="7" xfId="0" applyBorder="1"/>
    <xf numFmtId="0" fontId="0" fillId="0" borderId="3" xfId="0" applyBorder="1"/>
    <xf numFmtId="0" fontId="0" fillId="0" borderId="6" xfId="0" applyBorder="1"/>
    <xf numFmtId="164" fontId="0" fillId="0" borderId="3" xfId="0" applyNumberFormat="1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43" fontId="7" fillId="3" borderId="5" xfId="20" applyFont="1" applyFill="1" applyBorder="1" applyAlignment="1">
      <alignment horizontal="right"/>
    </xf>
    <xf numFmtId="43" fontId="7" fillId="3" borderId="3" xfId="20" applyFont="1" applyFill="1" applyBorder="1" applyAlignment="1">
      <alignment horizontal="right"/>
    </xf>
    <xf numFmtId="43" fontId="7" fillId="5" borderId="3" xfId="20" applyFont="1" applyFill="1" applyBorder="1" applyAlignment="1">
      <alignment horizontal="right"/>
    </xf>
    <xf numFmtId="164" fontId="9" fillId="3" borderId="5" xfId="9" applyFont="1">
      <alignment horizontal="right"/>
    </xf>
    <xf numFmtId="0" fontId="0" fillId="0" borderId="2" xfId="0" applyBorder="1"/>
    <xf numFmtId="10" fontId="7" fillId="3" borderId="3" xfId="18" applyNumberFormat="1" applyFont="1" applyFill="1" applyBorder="1" applyAlignment="1">
      <alignment horizontal="right"/>
    </xf>
    <xf numFmtId="10" fontId="7" fillId="5" borderId="3" xfId="18" applyNumberFormat="1" applyFont="1" applyFill="1" applyBorder="1" applyAlignment="1">
      <alignment horizontal="right"/>
    </xf>
    <xf numFmtId="43" fontId="7" fillId="3" borderId="11" xfId="20" applyFont="1" applyFill="1" applyBorder="1" applyAlignment="1">
      <alignment horizontal="right"/>
    </xf>
    <xf numFmtId="0" fontId="6" fillId="3" borderId="3" xfId="10" applyBorder="1"/>
    <xf numFmtId="0" fontId="6" fillId="3" borderId="2" xfId="10" applyBorder="1"/>
    <xf numFmtId="0" fontId="4" fillId="2" borderId="12" xfId="5" applyBorder="1">
      <alignment horizontal="right"/>
    </xf>
    <xf numFmtId="0" fontId="6" fillId="3" borderId="10" xfId="10" applyBorder="1"/>
    <xf numFmtId="43" fontId="7" fillId="5" borderId="5" xfId="20" applyFont="1" applyFill="1" applyBorder="1" applyAlignment="1">
      <alignment horizontal="right"/>
    </xf>
    <xf numFmtId="0" fontId="15" fillId="3" borderId="4" xfId="10" applyFont="1"/>
    <xf numFmtId="0" fontId="0" fillId="0" borderId="11" xfId="0" applyBorder="1"/>
    <xf numFmtId="0" fontId="15" fillId="3" borderId="5" xfId="10" applyFont="1" applyBorder="1"/>
    <xf numFmtId="165" fontId="6" fillId="3" borderId="4" xfId="20" applyNumberFormat="1" applyFont="1" applyFill="1" applyBorder="1"/>
    <xf numFmtId="165" fontId="6" fillId="3" borderId="5" xfId="20" applyNumberFormat="1" applyFont="1" applyFill="1" applyBorder="1"/>
    <xf numFmtId="9" fontId="0" fillId="0" borderId="3" xfId="18" applyFont="1" applyBorder="1"/>
    <xf numFmtId="165" fontId="7" fillId="3" borderId="5" xfId="20" applyNumberFormat="1" applyFont="1" applyFill="1" applyBorder="1" applyAlignment="1">
      <alignment horizontal="right"/>
    </xf>
    <xf numFmtId="43" fontId="7" fillId="3" borderId="5" xfId="18" applyNumberFormat="1" applyFont="1" applyFill="1" applyBorder="1" applyAlignment="1">
      <alignment horizontal="right"/>
    </xf>
    <xf numFmtId="165" fontId="0" fillId="0" borderId="0" xfId="0" applyNumberFormat="1"/>
    <xf numFmtId="0" fontId="15" fillId="3" borderId="6" xfId="10" applyFont="1" applyBorder="1"/>
    <xf numFmtId="165" fontId="6" fillId="3" borderId="6" xfId="20" applyNumberFormat="1" applyFont="1" applyFill="1" applyBorder="1"/>
    <xf numFmtId="165" fontId="6" fillId="3" borderId="3" xfId="20" applyNumberFormat="1" applyFont="1" applyFill="1" applyBorder="1"/>
    <xf numFmtId="0" fontId="5" fillId="3" borderId="10" xfId="8" applyBorder="1"/>
    <xf numFmtId="3" fontId="5" fillId="3" borderId="2" xfId="14" applyBorder="1">
      <alignment horizontal="right"/>
    </xf>
    <xf numFmtId="0" fontId="4" fillId="2" borderId="5" xfId="6" applyBorder="1">
      <alignment horizontal="left"/>
    </xf>
    <xf numFmtId="3" fontId="5" fillId="3" borderId="4" xfId="14" applyBorder="1">
      <alignment horizontal="right"/>
    </xf>
    <xf numFmtId="0" fontId="6" fillId="4" borderId="3" xfId="10" applyFill="1" applyBorder="1"/>
    <xf numFmtId="10" fontId="5" fillId="5" borderId="5" xfId="18" applyNumberFormat="1" applyFont="1" applyFill="1" applyBorder="1" applyAlignment="1">
      <alignment horizontal="right"/>
    </xf>
    <xf numFmtId="0" fontId="0" fillId="0" borderId="12" xfId="0" applyBorder="1"/>
    <xf numFmtId="164" fontId="7" fillId="3" borderId="2" xfId="11" applyBorder="1">
      <alignment horizontal="right"/>
    </xf>
    <xf numFmtId="43" fontId="0" fillId="0" borderId="6" xfId="0" applyNumberFormat="1" applyBorder="1"/>
    <xf numFmtId="43" fontId="0" fillId="0" borderId="3" xfId="0" applyNumberFormat="1" applyBorder="1"/>
    <xf numFmtId="9" fontId="5" fillId="5" borderId="5" xfId="18" applyFont="1" applyFill="1" applyBorder="1" applyAlignment="1">
      <alignment horizontal="right"/>
    </xf>
    <xf numFmtId="164" fontId="5" fillId="3" borderId="5" xfId="11" applyFont="1">
      <alignment horizontal="right"/>
    </xf>
    <xf numFmtId="10" fontId="5" fillId="3" borderId="3" xfId="18" applyNumberFormat="1" applyFont="1" applyFill="1" applyBorder="1" applyAlignment="1">
      <alignment horizontal="right"/>
    </xf>
    <xf numFmtId="0" fontId="15" fillId="3" borderId="10" xfId="10" applyFont="1" applyBorder="1"/>
    <xf numFmtId="167" fontId="0" fillId="0" borderId="0" xfId="0" applyNumberFormat="1"/>
    <xf numFmtId="168" fontId="0" fillId="0" borderId="0" xfId="21" applyNumberFormat="1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9" fontId="0" fillId="0" borderId="0" xfId="18" applyNumberFormat="1" applyFont="1"/>
  </cellXfs>
  <cellStyles count="22">
    <cellStyle name="blp_column_header" xfId="1" xr:uid="{D01984A8-6AAE-4DCD-8F78-2A9EA7C459A7}"/>
    <cellStyle name="blp_title_header_row_left" xfId="2" xr:uid="{223DE97C-C475-4D99-9CD7-E0FCA497BCA0}"/>
    <cellStyle name="Comma" xfId="20" builtinId="3"/>
    <cellStyle name="Comma 3 2" xfId="19" xr:uid="{9D83CFEC-0534-4844-8B7F-ED6E9A82354A}"/>
    <cellStyle name="Currency" xfId="21" builtinId="4"/>
    <cellStyle name="fa_column_header_bottom" xfId="7" xr:uid="{3E2D2DE6-813D-430C-8051-84254E496E47}"/>
    <cellStyle name="fa_column_header_bottom_left" xfId="6" xr:uid="{B58E9B51-A043-4173-A15E-81974DC7EBF8}"/>
    <cellStyle name="fa_column_header_empty" xfId="3" xr:uid="{3D2D095A-6EAA-4D29-AC3C-1DE7FC8AB67F}"/>
    <cellStyle name="fa_column_header_top" xfId="5" xr:uid="{F64A1231-1C13-4D94-8BA2-AE454393C7B2}"/>
    <cellStyle name="fa_column_header_top_left" xfId="4" xr:uid="{4E9BC7A3-A8A9-4D21-A582-F89D0C0A92EC}"/>
    <cellStyle name="fa_data_bold_0_grouped" xfId="14" xr:uid="{FE069F7E-46FA-4757-9037-7428055E3882}"/>
    <cellStyle name="fa_data_bold_1_grouped" xfId="9" xr:uid="{24E37CCC-1650-483D-8D78-0128716E4679}"/>
    <cellStyle name="fa_data_bold_2_grouped" xfId="15" xr:uid="{C4748262-858A-49CA-B4D3-BBD1426EB99C}"/>
    <cellStyle name="fa_data_italic_1_grouped" xfId="13" xr:uid="{F358F4DC-BAA5-4DC8-B20A-441E59EB84BB}"/>
    <cellStyle name="fa_data_standard_0_grouped" xfId="16" xr:uid="{D03B0DF3-0517-4CEC-B61A-00EB9C3925CA}"/>
    <cellStyle name="fa_data_standard_1_grouped" xfId="11" xr:uid="{743B2971-F263-431D-877A-636FC20F260D}"/>
    <cellStyle name="fa_data_standard_2_grouped" xfId="17" xr:uid="{CEE4024B-FF04-4997-BC6A-53EE08744A5E}"/>
    <cellStyle name="fa_row_header_bold" xfId="8" xr:uid="{A8A5F0DA-81B0-4957-B735-89BA8C580037}"/>
    <cellStyle name="fa_row_header_italic" xfId="12" xr:uid="{40AB8183-4E96-40C8-BB1F-081E51ACCC7B}"/>
    <cellStyle name="fa_row_header_standard" xfId="10" xr:uid="{8820177B-1D5A-4AE6-9049-9E6B10C48975}"/>
    <cellStyle name="Normal" xfId="0" builtinId="0"/>
    <cellStyle name="Percent" xfId="1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OrderBook!$E$20</c:f>
              <c:strCache>
                <c:ptCount val="1"/>
                <c:pt idx="0">
                  <c:v>Vinci Energies Order Book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25400" cap="rnd" cmpd="sng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OrderBook!$F$19:$AT$19</c:f>
              <c:strCache>
                <c:ptCount val="41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</c:strCache>
            </c:strRef>
          </c:cat>
          <c:val>
            <c:numRef>
              <c:f>OrderBook!$F$20:$AT$20</c:f>
              <c:numCache>
                <c:formatCode>General</c:formatCode>
                <c:ptCount val="41"/>
                <c:pt idx="0">
                  <c:v>6800</c:v>
                </c:pt>
                <c:pt idx="1">
                  <c:v>6600</c:v>
                </c:pt>
                <c:pt idx="2">
                  <c:v>6400</c:v>
                </c:pt>
                <c:pt idx="3">
                  <c:v>6300</c:v>
                </c:pt>
                <c:pt idx="4">
                  <c:v>6600</c:v>
                </c:pt>
                <c:pt idx="5">
                  <c:v>6800</c:v>
                </c:pt>
                <c:pt idx="6">
                  <c:v>6500</c:v>
                </c:pt>
                <c:pt idx="7">
                  <c:v>6100</c:v>
                </c:pt>
                <c:pt idx="8">
                  <c:v>6600</c:v>
                </c:pt>
                <c:pt idx="9">
                  <c:v>6400</c:v>
                </c:pt>
                <c:pt idx="10">
                  <c:v>6200</c:v>
                </c:pt>
                <c:pt idx="11">
                  <c:v>5900</c:v>
                </c:pt>
                <c:pt idx="12">
                  <c:v>6900</c:v>
                </c:pt>
                <c:pt idx="13">
                  <c:v>7000</c:v>
                </c:pt>
                <c:pt idx="14">
                  <c:v>7100</c:v>
                </c:pt>
                <c:pt idx="15">
                  <c:v>6700</c:v>
                </c:pt>
                <c:pt idx="16">
                  <c:v>8700</c:v>
                </c:pt>
                <c:pt idx="17">
                  <c:v>8700</c:v>
                </c:pt>
                <c:pt idx="18">
                  <c:v>8600</c:v>
                </c:pt>
                <c:pt idx="19">
                  <c:v>8400</c:v>
                </c:pt>
                <c:pt idx="20">
                  <c:v>9300</c:v>
                </c:pt>
                <c:pt idx="21">
                  <c:v>9400</c:v>
                </c:pt>
                <c:pt idx="22">
                  <c:v>9500</c:v>
                </c:pt>
                <c:pt idx="23">
                  <c:v>9100</c:v>
                </c:pt>
                <c:pt idx="24">
                  <c:v>10200</c:v>
                </c:pt>
                <c:pt idx="25">
                  <c:v>10200</c:v>
                </c:pt>
                <c:pt idx="26">
                  <c:v>10200</c:v>
                </c:pt>
                <c:pt idx="27">
                  <c:v>9900</c:v>
                </c:pt>
                <c:pt idx="28">
                  <c:v>10900</c:v>
                </c:pt>
                <c:pt idx="29">
                  <c:v>11200</c:v>
                </c:pt>
                <c:pt idx="30">
                  <c:v>11400</c:v>
                </c:pt>
                <c:pt idx="31">
                  <c:v>11000</c:v>
                </c:pt>
                <c:pt idx="32">
                  <c:v>12200</c:v>
                </c:pt>
                <c:pt idx="33">
                  <c:v>12700</c:v>
                </c:pt>
                <c:pt idx="34">
                  <c:v>12600</c:v>
                </c:pt>
                <c:pt idx="35">
                  <c:v>12400</c:v>
                </c:pt>
                <c:pt idx="36">
                  <c:v>14500</c:v>
                </c:pt>
                <c:pt idx="37">
                  <c:v>14700</c:v>
                </c:pt>
                <c:pt idx="38">
                  <c:v>14700</c:v>
                </c:pt>
                <c:pt idx="39">
                  <c:v>14300</c:v>
                </c:pt>
                <c:pt idx="40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E-418C-B9D3-1ED60D92A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800"/>
        <c:axId val="3119280"/>
      </c:barChart>
      <c:catAx>
        <c:axId val="31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280"/>
        <c:crosses val="autoZero"/>
        <c:auto val="1"/>
        <c:lblAlgn val="ctr"/>
        <c:lblOffset val="100"/>
        <c:noMultiLvlLbl val="0"/>
      </c:catAx>
      <c:valAx>
        <c:axId val="31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OrderBook!$E$22</c:f>
              <c:strCache>
                <c:ptCount val="1"/>
                <c:pt idx="0">
                  <c:v>Vinci Construction Order Book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OrderBook!$F$19:$AT$19</c:f>
              <c:strCache>
                <c:ptCount val="41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</c:strCache>
            </c:strRef>
          </c:cat>
          <c:val>
            <c:numRef>
              <c:f>OrderBook!$F$22:$AT$22</c:f>
              <c:numCache>
                <c:formatCode>General</c:formatCode>
                <c:ptCount val="41"/>
                <c:pt idx="0">
                  <c:v>23900</c:v>
                </c:pt>
                <c:pt idx="1">
                  <c:v>22900</c:v>
                </c:pt>
                <c:pt idx="2">
                  <c:v>22300</c:v>
                </c:pt>
                <c:pt idx="3">
                  <c:v>21600</c:v>
                </c:pt>
                <c:pt idx="4">
                  <c:v>22500</c:v>
                </c:pt>
                <c:pt idx="5">
                  <c:v>21900</c:v>
                </c:pt>
                <c:pt idx="6">
                  <c:v>22000</c:v>
                </c:pt>
                <c:pt idx="7">
                  <c:v>21700</c:v>
                </c:pt>
                <c:pt idx="8">
                  <c:v>17000</c:v>
                </c:pt>
                <c:pt idx="9">
                  <c:v>22800</c:v>
                </c:pt>
                <c:pt idx="10">
                  <c:v>21700</c:v>
                </c:pt>
                <c:pt idx="11">
                  <c:v>21500</c:v>
                </c:pt>
                <c:pt idx="12">
                  <c:v>23300</c:v>
                </c:pt>
                <c:pt idx="13">
                  <c:v>23700</c:v>
                </c:pt>
                <c:pt idx="14">
                  <c:v>23500</c:v>
                </c:pt>
                <c:pt idx="15">
                  <c:v>22600</c:v>
                </c:pt>
                <c:pt idx="16">
                  <c:v>24000</c:v>
                </c:pt>
                <c:pt idx="17">
                  <c:v>24000</c:v>
                </c:pt>
                <c:pt idx="18">
                  <c:v>24200</c:v>
                </c:pt>
                <c:pt idx="19">
                  <c:v>24700</c:v>
                </c:pt>
                <c:pt idx="20">
                  <c:v>25600</c:v>
                </c:pt>
                <c:pt idx="21">
                  <c:v>26800</c:v>
                </c:pt>
                <c:pt idx="22">
                  <c:v>27000</c:v>
                </c:pt>
                <c:pt idx="23">
                  <c:v>27400</c:v>
                </c:pt>
                <c:pt idx="24">
                  <c:v>27600</c:v>
                </c:pt>
                <c:pt idx="25">
                  <c:v>32700</c:v>
                </c:pt>
                <c:pt idx="26">
                  <c:v>32600</c:v>
                </c:pt>
                <c:pt idx="27">
                  <c:v>32500</c:v>
                </c:pt>
                <c:pt idx="28">
                  <c:v>35000</c:v>
                </c:pt>
                <c:pt idx="29">
                  <c:v>34800</c:v>
                </c:pt>
                <c:pt idx="30">
                  <c:v>34000</c:v>
                </c:pt>
                <c:pt idx="31">
                  <c:v>33400</c:v>
                </c:pt>
                <c:pt idx="32">
                  <c:v>34300</c:v>
                </c:pt>
                <c:pt idx="33">
                  <c:v>34300</c:v>
                </c:pt>
                <c:pt idx="34">
                  <c:v>33600</c:v>
                </c:pt>
                <c:pt idx="35">
                  <c:v>33800</c:v>
                </c:pt>
                <c:pt idx="36">
                  <c:v>34300</c:v>
                </c:pt>
                <c:pt idx="37">
                  <c:v>33600</c:v>
                </c:pt>
                <c:pt idx="38">
                  <c:v>33600</c:v>
                </c:pt>
                <c:pt idx="39">
                  <c:v>32700</c:v>
                </c:pt>
                <c:pt idx="40">
                  <c:v>33900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8-445D-AA77-603F2F1E9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800"/>
        <c:axId val="3119280"/>
      </c:barChart>
      <c:catAx>
        <c:axId val="31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280"/>
        <c:crosses val="autoZero"/>
        <c:auto val="1"/>
        <c:lblAlgn val="ctr"/>
        <c:lblOffset val="100"/>
        <c:noMultiLvlLbl val="0"/>
      </c:catAx>
      <c:valAx>
        <c:axId val="31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OrderBook!$E$21</c:f>
              <c:strCache>
                <c:ptCount val="1"/>
                <c:pt idx="0">
                  <c:v>Cobra IS Order Book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25400" cap="rnd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OrderBook!$F$19:$AT$19</c:f>
              <c:strCache>
                <c:ptCount val="41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</c:strCache>
            </c:strRef>
          </c:cat>
          <c:val>
            <c:numRef>
              <c:f>OrderBook!$F$21:$AT$21</c:f>
              <c:numCache>
                <c:formatCode>General</c:formatCode>
                <c:ptCount val="41"/>
                <c:pt idx="32">
                  <c:v>8400</c:v>
                </c:pt>
                <c:pt idx="33">
                  <c:v>9300</c:v>
                </c:pt>
                <c:pt idx="34">
                  <c:v>11200</c:v>
                </c:pt>
                <c:pt idx="35">
                  <c:v>11100</c:v>
                </c:pt>
                <c:pt idx="36">
                  <c:v>11500</c:v>
                </c:pt>
                <c:pt idx="37">
                  <c:v>13300</c:v>
                </c:pt>
                <c:pt idx="38">
                  <c:v>14900</c:v>
                </c:pt>
                <c:pt idx="39">
                  <c:v>14400</c:v>
                </c:pt>
                <c:pt idx="40">
                  <c:v>16700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4C-4A6E-8B37-9B45A6E5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8800"/>
        <c:axId val="3119280"/>
      </c:barChart>
      <c:catAx>
        <c:axId val="31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280"/>
        <c:crosses val="autoZero"/>
        <c:auto val="1"/>
        <c:lblAlgn val="ctr"/>
        <c:lblOffset val="100"/>
        <c:noMultiLvlLbl val="0"/>
      </c:catAx>
      <c:valAx>
        <c:axId val="311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Construction Order Book YoY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37530674519346E-2"/>
          <c:y val="0.14067474390148182"/>
          <c:w val="0.92768893725682666"/>
          <c:h val="0.82693659671981934"/>
        </c:manualLayout>
      </c:layout>
      <c:lineChart>
        <c:grouping val="standard"/>
        <c:varyColors val="0"/>
        <c:ser>
          <c:idx val="0"/>
          <c:order val="0"/>
          <c:tx>
            <c:strRef>
              <c:f>OrderBook!$E$33</c:f>
              <c:strCache>
                <c:ptCount val="1"/>
                <c:pt idx="0">
                  <c:v>Construction YoY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OrderBook!$F$30:$AT$30</c:f>
              <c:strCache>
                <c:ptCount val="41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</c:strCache>
            </c:strRef>
          </c:cat>
          <c:val>
            <c:numRef>
              <c:f>OrderBook!$F$33:$AT$33</c:f>
              <c:numCache>
                <c:formatCode>General</c:formatCode>
                <c:ptCount val="41"/>
                <c:pt idx="4" formatCode="0.00%">
                  <c:v>-5.8577405857740586E-2</c:v>
                </c:pt>
                <c:pt idx="5" formatCode="0.00%">
                  <c:v>-4.3668122270742356E-2</c:v>
                </c:pt>
                <c:pt idx="6" formatCode="0.00%">
                  <c:v>-1.3452914798206279E-2</c:v>
                </c:pt>
                <c:pt idx="7" formatCode="0.00%">
                  <c:v>4.6296296296296294E-3</c:v>
                </c:pt>
                <c:pt idx="8" formatCode="0.00%">
                  <c:v>-0.24444444444444444</c:v>
                </c:pt>
                <c:pt idx="9" formatCode="0.00%">
                  <c:v>4.1095890410958902E-2</c:v>
                </c:pt>
                <c:pt idx="10" formatCode="0.00%">
                  <c:v>-1.3636363636363636E-2</c:v>
                </c:pt>
                <c:pt idx="11" formatCode="0.00%">
                  <c:v>-9.2165898617511521E-3</c:v>
                </c:pt>
                <c:pt idx="12" formatCode="0.00%">
                  <c:v>0.37058823529411766</c:v>
                </c:pt>
                <c:pt idx="13" formatCode="0.00%">
                  <c:v>3.9473684210526314E-2</c:v>
                </c:pt>
                <c:pt idx="14" formatCode="0.00%">
                  <c:v>8.294930875576037E-2</c:v>
                </c:pt>
                <c:pt idx="15" formatCode="0.00%">
                  <c:v>5.1162790697674418E-2</c:v>
                </c:pt>
                <c:pt idx="16" formatCode="0.00%">
                  <c:v>3.0042918454935622E-2</c:v>
                </c:pt>
                <c:pt idx="17" formatCode="0.00%">
                  <c:v>1.2658227848101266E-2</c:v>
                </c:pt>
                <c:pt idx="18" formatCode="0.00%">
                  <c:v>2.9787234042553193E-2</c:v>
                </c:pt>
                <c:pt idx="19" formatCode="0.00%">
                  <c:v>9.2920353982300891E-2</c:v>
                </c:pt>
                <c:pt idx="20" formatCode="0.00%">
                  <c:v>6.6666666666666666E-2</c:v>
                </c:pt>
                <c:pt idx="21" formatCode="0.00%">
                  <c:v>0.11666666666666667</c:v>
                </c:pt>
                <c:pt idx="22" formatCode="0.00%">
                  <c:v>0.11570247933884298</c:v>
                </c:pt>
                <c:pt idx="23" formatCode="0.00%">
                  <c:v>0.10931174089068826</c:v>
                </c:pt>
                <c:pt idx="24" formatCode="0.00%">
                  <c:v>7.8125E-2</c:v>
                </c:pt>
                <c:pt idx="25" formatCode="0.00%">
                  <c:v>0.22014925373134328</c:v>
                </c:pt>
                <c:pt idx="26" formatCode="0.00%">
                  <c:v>0.2074074074074074</c:v>
                </c:pt>
                <c:pt idx="27" formatCode="0.00%">
                  <c:v>0.18613138686131386</c:v>
                </c:pt>
                <c:pt idx="28" formatCode="0.00%">
                  <c:v>0.26811594202898553</c:v>
                </c:pt>
                <c:pt idx="29" formatCode="0.00%">
                  <c:v>6.4220183486238536E-2</c:v>
                </c:pt>
                <c:pt idx="30" formatCode="0.00%">
                  <c:v>4.2944785276073622E-2</c:v>
                </c:pt>
                <c:pt idx="31" formatCode="0.00%">
                  <c:v>2.7692307692307693E-2</c:v>
                </c:pt>
                <c:pt idx="32" formatCode="0.00%">
                  <c:v>-0.02</c:v>
                </c:pt>
                <c:pt idx="33" formatCode="0.00%">
                  <c:v>-1.4367816091954023E-2</c:v>
                </c:pt>
                <c:pt idx="34" formatCode="0.00%">
                  <c:v>-1.1764705882352941E-2</c:v>
                </c:pt>
                <c:pt idx="35" formatCode="0.00%">
                  <c:v>1.1976047904191617E-2</c:v>
                </c:pt>
                <c:pt idx="36" formatCode="0.00%">
                  <c:v>0</c:v>
                </c:pt>
                <c:pt idx="37" formatCode="0.00%">
                  <c:v>-2.0408163265306121E-2</c:v>
                </c:pt>
                <c:pt idx="38" formatCode="0.00%">
                  <c:v>0</c:v>
                </c:pt>
                <c:pt idx="39" formatCode="0.00%">
                  <c:v>-3.2544378698224852E-2</c:v>
                </c:pt>
                <c:pt idx="40" formatCode="0.00%">
                  <c:v>-1.1661807580174927E-2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74-41E8-B3C2-37F0BD0BE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580032"/>
        <c:axId val="544584832"/>
      </c:lineChart>
      <c:catAx>
        <c:axId val="5445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4832"/>
        <c:crosses val="autoZero"/>
        <c:auto val="1"/>
        <c:lblAlgn val="ctr"/>
        <c:lblOffset val="100"/>
        <c:noMultiLvlLbl val="0"/>
      </c:catAx>
      <c:valAx>
        <c:axId val="5445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Energies Order Book YoY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437530674519346E-2"/>
          <c:y val="0.14067474390148182"/>
          <c:w val="0.92768893725682666"/>
          <c:h val="0.82693659671981934"/>
        </c:manualLayout>
      </c:layout>
      <c:lineChart>
        <c:grouping val="standard"/>
        <c:varyColors val="0"/>
        <c:ser>
          <c:idx val="0"/>
          <c:order val="0"/>
          <c:tx>
            <c:strRef>
              <c:f>OrderBook!$E$31</c:f>
              <c:strCache>
                <c:ptCount val="1"/>
                <c:pt idx="0">
                  <c:v>Energies YoY Change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25400" cap="rnd">
                <a:noFill/>
                <a:prstDash val="solid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OrderBook!$F$30:$AT$30</c:f>
              <c:strCache>
                <c:ptCount val="41"/>
                <c:pt idx="0">
                  <c:v>2014 Q1</c:v>
                </c:pt>
                <c:pt idx="1">
                  <c:v>2014 Q2</c:v>
                </c:pt>
                <c:pt idx="2">
                  <c:v>2014 Q3</c:v>
                </c:pt>
                <c:pt idx="3">
                  <c:v>2014 Q4</c:v>
                </c:pt>
                <c:pt idx="4">
                  <c:v>2015 Q1</c:v>
                </c:pt>
                <c:pt idx="5">
                  <c:v>2015 Q2</c:v>
                </c:pt>
                <c:pt idx="6">
                  <c:v>2015 Q3</c:v>
                </c:pt>
                <c:pt idx="7">
                  <c:v>2015 Q4</c:v>
                </c:pt>
                <c:pt idx="8">
                  <c:v>2016 Q1</c:v>
                </c:pt>
                <c:pt idx="9">
                  <c:v>2016 Q2</c:v>
                </c:pt>
                <c:pt idx="10">
                  <c:v>2016 Q3</c:v>
                </c:pt>
                <c:pt idx="11">
                  <c:v>2016 Q4</c:v>
                </c:pt>
                <c:pt idx="12">
                  <c:v>2017 Q1</c:v>
                </c:pt>
                <c:pt idx="13">
                  <c:v>2017 Q2</c:v>
                </c:pt>
                <c:pt idx="14">
                  <c:v>2017 Q3</c:v>
                </c:pt>
                <c:pt idx="15">
                  <c:v>2017 Q4</c:v>
                </c:pt>
                <c:pt idx="16">
                  <c:v>2018 Q1</c:v>
                </c:pt>
                <c:pt idx="17">
                  <c:v>2018 Q2</c:v>
                </c:pt>
                <c:pt idx="18">
                  <c:v>2018 Q3</c:v>
                </c:pt>
                <c:pt idx="19">
                  <c:v>2018 Q4</c:v>
                </c:pt>
                <c:pt idx="20">
                  <c:v>2019 Q1</c:v>
                </c:pt>
                <c:pt idx="21">
                  <c:v>2019 Q2</c:v>
                </c:pt>
                <c:pt idx="22">
                  <c:v>2019 Q3</c:v>
                </c:pt>
                <c:pt idx="23">
                  <c:v>2019 Q4</c:v>
                </c:pt>
                <c:pt idx="24">
                  <c:v>2020 Q1</c:v>
                </c:pt>
                <c:pt idx="25">
                  <c:v>2020 Q2</c:v>
                </c:pt>
                <c:pt idx="26">
                  <c:v>2020 Q3</c:v>
                </c:pt>
                <c:pt idx="27">
                  <c:v>2020 Q4</c:v>
                </c:pt>
                <c:pt idx="28">
                  <c:v>2021 Q1</c:v>
                </c:pt>
                <c:pt idx="29">
                  <c:v>2021 Q2</c:v>
                </c:pt>
                <c:pt idx="30">
                  <c:v>2021 Q3</c:v>
                </c:pt>
                <c:pt idx="31">
                  <c:v>2021 Q4</c:v>
                </c:pt>
                <c:pt idx="32">
                  <c:v>2022 Q1</c:v>
                </c:pt>
                <c:pt idx="33">
                  <c:v>2022 Q2</c:v>
                </c:pt>
                <c:pt idx="34">
                  <c:v>2022 Q3</c:v>
                </c:pt>
                <c:pt idx="35">
                  <c:v>2022 Q4</c:v>
                </c:pt>
                <c:pt idx="36">
                  <c:v>2023 Q1</c:v>
                </c:pt>
                <c:pt idx="37">
                  <c:v>2023 Q2</c:v>
                </c:pt>
                <c:pt idx="38">
                  <c:v>2023 Q3</c:v>
                </c:pt>
                <c:pt idx="39">
                  <c:v>2023 Q4</c:v>
                </c:pt>
                <c:pt idx="40">
                  <c:v>2024 Q1</c:v>
                </c:pt>
              </c:strCache>
            </c:strRef>
          </c:cat>
          <c:val>
            <c:numRef>
              <c:f>OrderBook!$F$31:$AT$31</c:f>
              <c:numCache>
                <c:formatCode>General</c:formatCode>
                <c:ptCount val="41"/>
                <c:pt idx="4" formatCode="0.00%">
                  <c:v>-2.9411764705882353E-2</c:v>
                </c:pt>
                <c:pt idx="5" formatCode="0.00%">
                  <c:v>3.0303030303030304E-2</c:v>
                </c:pt>
                <c:pt idx="6" formatCode="0.00%">
                  <c:v>1.5625E-2</c:v>
                </c:pt>
                <c:pt idx="7" formatCode="0.00%">
                  <c:v>-3.1746031746031744E-2</c:v>
                </c:pt>
                <c:pt idx="8" formatCode="0.00%">
                  <c:v>0</c:v>
                </c:pt>
                <c:pt idx="9" formatCode="0.00%">
                  <c:v>-5.8823529411764705E-2</c:v>
                </c:pt>
                <c:pt idx="10" formatCode="0.00%">
                  <c:v>-4.6153846153846156E-2</c:v>
                </c:pt>
                <c:pt idx="11" formatCode="0.00%">
                  <c:v>-3.2786885245901641E-2</c:v>
                </c:pt>
                <c:pt idx="12" formatCode="0.00%">
                  <c:v>4.5454545454545456E-2</c:v>
                </c:pt>
                <c:pt idx="13" formatCode="0.00%">
                  <c:v>9.375E-2</c:v>
                </c:pt>
                <c:pt idx="14" formatCode="0.00%">
                  <c:v>0.14516129032258066</c:v>
                </c:pt>
                <c:pt idx="15" formatCode="0.00%">
                  <c:v>0.13559322033898305</c:v>
                </c:pt>
                <c:pt idx="16" formatCode="0.00%">
                  <c:v>0.2608695652173913</c:v>
                </c:pt>
                <c:pt idx="17" formatCode="0.00%">
                  <c:v>0.24285714285714285</c:v>
                </c:pt>
                <c:pt idx="18" formatCode="0.00%">
                  <c:v>0.21126760563380281</c:v>
                </c:pt>
                <c:pt idx="19" formatCode="0.00%">
                  <c:v>0.2537313432835821</c:v>
                </c:pt>
                <c:pt idx="20" formatCode="0.00%">
                  <c:v>6.8965517241379309E-2</c:v>
                </c:pt>
                <c:pt idx="21" formatCode="0.00%">
                  <c:v>8.0459770114942528E-2</c:v>
                </c:pt>
                <c:pt idx="22" formatCode="0.00%">
                  <c:v>0.10465116279069768</c:v>
                </c:pt>
                <c:pt idx="23" formatCode="0.00%">
                  <c:v>8.3333333333333329E-2</c:v>
                </c:pt>
                <c:pt idx="24" formatCode="0.00%">
                  <c:v>9.6774193548387094E-2</c:v>
                </c:pt>
                <c:pt idx="25" formatCode="0.00%">
                  <c:v>8.5106382978723402E-2</c:v>
                </c:pt>
                <c:pt idx="26" formatCode="0.00%">
                  <c:v>7.3684210526315783E-2</c:v>
                </c:pt>
                <c:pt idx="27" formatCode="0.00%">
                  <c:v>8.7912087912087919E-2</c:v>
                </c:pt>
                <c:pt idx="28" formatCode="0.00%">
                  <c:v>6.8627450980392163E-2</c:v>
                </c:pt>
                <c:pt idx="29" formatCode="0.00%">
                  <c:v>9.8039215686274508E-2</c:v>
                </c:pt>
                <c:pt idx="30" formatCode="0.00%">
                  <c:v>0.11764705882352941</c:v>
                </c:pt>
                <c:pt idx="31" formatCode="0.00%">
                  <c:v>0.1111111111111111</c:v>
                </c:pt>
                <c:pt idx="32" formatCode="0.00%">
                  <c:v>0.11926605504587157</c:v>
                </c:pt>
                <c:pt idx="33" formatCode="0.00%">
                  <c:v>0.13392857142857142</c:v>
                </c:pt>
                <c:pt idx="34" formatCode="0.00%">
                  <c:v>0.10526315789473684</c:v>
                </c:pt>
                <c:pt idx="35" formatCode="0.00%">
                  <c:v>0.12727272727272726</c:v>
                </c:pt>
                <c:pt idx="36" formatCode="0.00%">
                  <c:v>0.18852459016393441</c:v>
                </c:pt>
                <c:pt idx="37" formatCode="0.00%">
                  <c:v>0.15748031496062992</c:v>
                </c:pt>
                <c:pt idx="38" formatCode="0.00%">
                  <c:v>0.16666666666666666</c:v>
                </c:pt>
                <c:pt idx="39" formatCode="0.00%">
                  <c:v>0.15322580645161291</c:v>
                </c:pt>
                <c:pt idx="40" formatCode="0.00%">
                  <c:v>0.10344827586206896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05-46B0-9A87-62C359D76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4580032"/>
        <c:axId val="544584832"/>
      </c:lineChart>
      <c:catAx>
        <c:axId val="5445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4832"/>
        <c:crosses val="autoZero"/>
        <c:auto val="1"/>
        <c:lblAlgn val="ctr"/>
        <c:lblOffset val="100"/>
        <c:noMultiLvlLbl val="0"/>
      </c:catAx>
      <c:valAx>
        <c:axId val="54458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5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205221</xdr:colOff>
      <xdr:row>49</xdr:row>
      <xdr:rowOff>69127</xdr:rowOff>
    </xdr:from>
    <xdr:to>
      <xdr:col>22</xdr:col>
      <xdr:colOff>348096</xdr:colOff>
      <xdr:row>71</xdr:row>
      <xdr:rowOff>91497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D3DADF-AC58-1671-DC4D-633BF3028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371475</xdr:colOff>
      <xdr:row>49</xdr:row>
      <xdr:rowOff>63500</xdr:rowOff>
    </xdr:from>
    <xdr:to>
      <xdr:col>33</xdr:col>
      <xdr:colOff>514350</xdr:colOff>
      <xdr:row>71</xdr:row>
      <xdr:rowOff>96838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A88810-AD49-4100-A1F5-5D402B40F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537730</xdr:colOff>
      <xdr:row>49</xdr:row>
      <xdr:rowOff>82551</xdr:rowOff>
    </xdr:from>
    <xdr:to>
      <xdr:col>45</xdr:col>
      <xdr:colOff>71293</xdr:colOff>
      <xdr:row>71</xdr:row>
      <xdr:rowOff>112714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756ABE-B8C4-4C8B-929C-ED0AA2601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354157</xdr:colOff>
      <xdr:row>71</xdr:row>
      <xdr:rowOff>84426</xdr:rowOff>
    </xdr:from>
    <xdr:to>
      <xdr:col>33</xdr:col>
      <xdr:colOff>536864</xdr:colOff>
      <xdr:row>90</xdr:row>
      <xdr:rowOff>160770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54DF63-EA58-44A6-90EB-EEE2802C5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190500</xdr:colOff>
      <xdr:row>71</xdr:row>
      <xdr:rowOff>67540</xdr:rowOff>
    </xdr:from>
    <xdr:to>
      <xdr:col>22</xdr:col>
      <xdr:colOff>351559</xdr:colOff>
      <xdr:row>91</xdr:row>
      <xdr:rowOff>17319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E7B93F-4106-458B-B38A-4FAC8C4EF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97DD-1816-43B8-B0A9-B71C0AF95FBB}">
  <dimension ref="A2:Q363"/>
  <sheetViews>
    <sheetView topLeftCell="A3" zoomScaleNormal="100" workbookViewId="0">
      <selection activeCell="D338" sqref="D338"/>
    </sheetView>
  </sheetViews>
  <sheetFormatPr defaultRowHeight="14.5" x14ac:dyDescent="0.35"/>
  <cols>
    <col min="2" max="2" width="43.453125" bestFit="1" customWidth="1"/>
    <col min="3" max="3" width="11.90625" bestFit="1" customWidth="1"/>
    <col min="4" max="6" width="12" bestFit="1" customWidth="1"/>
    <col min="7" max="8" width="11.1796875" bestFit="1" customWidth="1"/>
    <col min="9" max="9" width="12.08984375" bestFit="1" customWidth="1"/>
    <col min="10" max="10" width="14.7265625" bestFit="1" customWidth="1"/>
    <col min="11" max="11" width="15.81640625" customWidth="1"/>
    <col min="12" max="12" width="18.1796875" customWidth="1"/>
    <col min="13" max="13" width="14.1796875" customWidth="1"/>
    <col min="14" max="14" width="14.54296875" bestFit="1" customWidth="1"/>
    <col min="15" max="15" width="13.36328125" customWidth="1"/>
    <col min="16" max="16" width="12.6328125" bestFit="1" customWidth="1"/>
    <col min="17" max="17" width="15" bestFit="1" customWidth="1"/>
  </cols>
  <sheetData>
    <row r="2" spans="1:14" x14ac:dyDescent="0.35">
      <c r="B2" s="1"/>
      <c r="C2" s="1"/>
      <c r="D2" s="1"/>
      <c r="E2" s="1"/>
      <c r="F2" s="1"/>
      <c r="G2" s="1"/>
      <c r="H2" s="1"/>
      <c r="I2" s="1"/>
      <c r="J2" s="1"/>
      <c r="K2" s="1"/>
    </row>
    <row r="3" spans="1:14" ht="20" x14ac:dyDescent="0.35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1:14" x14ac:dyDescent="0.35"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35">
      <c r="A5" t="s">
        <v>68</v>
      </c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66</v>
      </c>
      <c r="M5" s="5" t="s">
        <v>67</v>
      </c>
      <c r="N5" s="5" t="s">
        <v>254</v>
      </c>
    </row>
    <row r="6" spans="1:14" x14ac:dyDescent="0.35">
      <c r="B6" s="6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/>
      <c r="M6" s="7"/>
      <c r="N6" s="7"/>
    </row>
    <row r="7" spans="1:14" x14ac:dyDescent="0.35">
      <c r="B7" s="8" t="s">
        <v>21</v>
      </c>
      <c r="C7" s="9">
        <v>40876</v>
      </c>
      <c r="D7" s="9">
        <v>44152</v>
      </c>
      <c r="E7" s="9">
        <v>48752</v>
      </c>
      <c r="F7" s="9">
        <v>43930</v>
      </c>
      <c r="G7" s="9">
        <v>49982</v>
      </c>
      <c r="H7" s="9">
        <v>62265</v>
      </c>
      <c r="I7" s="9">
        <v>69618</v>
      </c>
      <c r="J7" s="9">
        <f>'Segment Rev+OPI build'!AI54</f>
        <v>72017.38</v>
      </c>
      <c r="K7" s="9">
        <f>'Segment Rev+OPI build'!AJ54</f>
        <v>74942.957000000009</v>
      </c>
      <c r="L7" s="9">
        <f>'Segment Rev+OPI build'!AK54</f>
        <v>78102.05638200001</v>
      </c>
      <c r="M7" s="9">
        <f>'Segment Rev+OPI build'!AL54</f>
        <v>81410.792999900004</v>
      </c>
      <c r="N7" s="9">
        <f>'Segment Rev+OPI build'!AM54</f>
        <v>84877.135528111816</v>
      </c>
    </row>
    <row r="8" spans="1:14" x14ac:dyDescent="0.35">
      <c r="B8" s="10" t="s">
        <v>22</v>
      </c>
      <c r="C8" s="11">
        <v>40876</v>
      </c>
      <c r="D8" s="11">
        <v>44152</v>
      </c>
      <c r="E8" s="11">
        <v>48053</v>
      </c>
      <c r="F8" s="11">
        <v>43234</v>
      </c>
      <c r="G8" s="11">
        <v>49396</v>
      </c>
      <c r="H8" s="11">
        <v>61675</v>
      </c>
      <c r="I8" s="11">
        <v>68838</v>
      </c>
      <c r="J8" s="11"/>
      <c r="K8" s="11"/>
      <c r="L8" s="11"/>
      <c r="M8" s="11"/>
      <c r="N8" s="11"/>
    </row>
    <row r="9" spans="1:14" x14ac:dyDescent="0.35">
      <c r="B9" s="10" t="s">
        <v>23</v>
      </c>
      <c r="C9" s="11" t="s">
        <v>24</v>
      </c>
      <c r="D9" s="11" t="s">
        <v>24</v>
      </c>
      <c r="E9" s="11">
        <v>699</v>
      </c>
      <c r="F9" s="11">
        <v>696</v>
      </c>
      <c r="G9" s="11">
        <v>586</v>
      </c>
      <c r="H9" s="11">
        <v>590</v>
      </c>
      <c r="I9" s="11">
        <v>780</v>
      </c>
      <c r="J9" s="11"/>
      <c r="K9" s="11"/>
      <c r="L9" s="11"/>
      <c r="M9" s="11"/>
      <c r="N9" s="11"/>
    </row>
    <row r="10" spans="1:14" x14ac:dyDescent="0.35">
      <c r="B10" s="10" t="s">
        <v>25</v>
      </c>
      <c r="C10" s="11">
        <v>200</v>
      </c>
      <c r="D10" s="11">
        <v>202</v>
      </c>
      <c r="E10" s="11">
        <v>198</v>
      </c>
      <c r="F10" s="11">
        <v>188</v>
      </c>
      <c r="G10" s="11">
        <v>248</v>
      </c>
      <c r="H10" s="11">
        <v>249</v>
      </c>
      <c r="I10" s="11">
        <v>267</v>
      </c>
      <c r="J10" s="11"/>
      <c r="K10" s="11"/>
      <c r="L10" s="11"/>
      <c r="M10" s="11"/>
      <c r="N10" s="11"/>
    </row>
    <row r="11" spans="1:14" x14ac:dyDescent="0.35">
      <c r="B11" s="10" t="s">
        <v>26</v>
      </c>
      <c r="C11" s="11">
        <v>36672</v>
      </c>
      <c r="D11" s="11">
        <v>39522</v>
      </c>
      <c r="E11" s="11">
        <v>43498</v>
      </c>
      <c r="F11" s="11">
        <v>41513</v>
      </c>
      <c r="G11" s="11">
        <v>45805</v>
      </c>
      <c r="H11" s="11">
        <v>56048</v>
      </c>
      <c r="I11" s="11">
        <v>61926</v>
      </c>
      <c r="J11" s="11"/>
      <c r="K11" s="11"/>
      <c r="L11" s="11"/>
      <c r="M11" s="11"/>
      <c r="N11" s="11"/>
    </row>
    <row r="12" spans="1:14" x14ac:dyDescent="0.35">
      <c r="B12" s="10" t="s">
        <v>27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/>
      <c r="K12" s="11"/>
      <c r="L12" s="11"/>
      <c r="M12" s="11"/>
      <c r="N12" s="11"/>
    </row>
    <row r="13" spans="1:14" x14ac:dyDescent="0.35">
      <c r="B13" s="10" t="s">
        <v>28</v>
      </c>
      <c r="C13" s="11">
        <v>36672</v>
      </c>
      <c r="D13" s="11">
        <v>39522</v>
      </c>
      <c r="E13" s="11">
        <v>43498</v>
      </c>
      <c r="F13" s="11">
        <v>41513</v>
      </c>
      <c r="G13" s="11">
        <v>45805</v>
      </c>
      <c r="H13" s="11">
        <v>56048</v>
      </c>
      <c r="I13" s="11">
        <v>61926</v>
      </c>
      <c r="J13" s="11"/>
      <c r="K13" s="11"/>
      <c r="L13" s="11"/>
      <c r="M13" s="11"/>
      <c r="N13" s="11"/>
    </row>
    <row r="14" spans="1:14" x14ac:dyDescent="0.35">
      <c r="B14" s="8" t="s">
        <v>29</v>
      </c>
      <c r="C14" s="9">
        <v>4404</v>
      </c>
      <c r="D14" s="9">
        <v>4832</v>
      </c>
      <c r="E14" s="9">
        <v>5452</v>
      </c>
      <c r="F14" s="9">
        <v>2605</v>
      </c>
      <c r="G14" s="9">
        <v>4425</v>
      </c>
      <c r="H14" s="9">
        <v>6466</v>
      </c>
      <c r="I14" s="9">
        <v>7959</v>
      </c>
      <c r="J14" s="9">
        <f>'Segment Rev+OPI build'!AH56</f>
        <v>8357</v>
      </c>
      <c r="K14" s="9">
        <f>'Segment Rev+OPI build'!AI56</f>
        <v>8760.1265999999996</v>
      </c>
      <c r="L14" s="9">
        <f>'Segment Rev+OPI build'!AJ56</f>
        <v>9153.3751110000012</v>
      </c>
      <c r="M14" s="9">
        <f>'Segment Rev+OPI build'!AK56</f>
        <v>9570.8022920900021</v>
      </c>
      <c r="N14" s="9">
        <f>'Segment Rev+OPI build'!AL56</f>
        <v>10009.933820490902</v>
      </c>
    </row>
    <row r="15" spans="1:14" x14ac:dyDescent="0.35">
      <c r="B15" s="10" t="s">
        <v>30</v>
      </c>
      <c r="C15" s="11">
        <v>296</v>
      </c>
      <c r="D15" s="11">
        <v>357</v>
      </c>
      <c r="E15" s="11">
        <v>410</v>
      </c>
      <c r="F15" s="11">
        <v>781</v>
      </c>
      <c r="G15" s="11">
        <v>605</v>
      </c>
      <c r="H15" s="11">
        <v>313</v>
      </c>
      <c r="I15" s="11">
        <v>940</v>
      </c>
      <c r="J15" s="11">
        <f>SUM(J16:J21)</f>
        <v>818.98599999999999</v>
      </c>
      <c r="K15" s="11">
        <f t="shared" ref="K15:M15" si="0">SUM(K16:K21)</f>
        <v>833.96405231999995</v>
      </c>
      <c r="L15" s="11">
        <f t="shared" si="0"/>
        <v>845.77186025640015</v>
      </c>
      <c r="M15" s="11">
        <f t="shared" si="0"/>
        <v>884.34213178911614</v>
      </c>
      <c r="N15" s="11">
        <f t="shared" ref="N15" si="1">SUM(N16:N21)</f>
        <v>924.9178850133593</v>
      </c>
    </row>
    <row r="16" spans="1:14" x14ac:dyDescent="0.35">
      <c r="B16" s="10" t="s">
        <v>31</v>
      </c>
      <c r="C16" s="11">
        <v>597</v>
      </c>
      <c r="D16" s="11">
        <v>606</v>
      </c>
      <c r="E16" s="11">
        <v>753</v>
      </c>
      <c r="F16" s="11">
        <v>776</v>
      </c>
      <c r="G16" s="11">
        <v>766</v>
      </c>
      <c r="H16" s="11">
        <v>719</v>
      </c>
      <c r="I16" s="11">
        <v>743</v>
      </c>
      <c r="J16" s="11">
        <f>J157</f>
        <v>818.98599999999999</v>
      </c>
      <c r="K16" s="11">
        <f t="shared" ref="K16:M16" si="2">K157</f>
        <v>833.96405231999995</v>
      </c>
      <c r="L16" s="11">
        <f t="shared" si="2"/>
        <v>845.77186025640015</v>
      </c>
      <c r="M16" s="11">
        <f t="shared" si="2"/>
        <v>884.34213178911614</v>
      </c>
      <c r="N16" s="11">
        <f t="shared" ref="N16" si="3">N157</f>
        <v>924.9178850133593</v>
      </c>
    </row>
    <row r="17" spans="1:14" x14ac:dyDescent="0.35">
      <c r="B17" s="12" t="s">
        <v>32</v>
      </c>
      <c r="C17" s="13">
        <v>653</v>
      </c>
      <c r="D17" s="13">
        <v>635</v>
      </c>
      <c r="E17" s="13">
        <v>794</v>
      </c>
      <c r="F17" s="13">
        <v>796</v>
      </c>
      <c r="G17" s="13">
        <v>767</v>
      </c>
      <c r="H17" s="13">
        <v>839</v>
      </c>
      <c r="I17" s="13">
        <v>1205</v>
      </c>
      <c r="J17" s="13"/>
      <c r="K17" s="13"/>
      <c r="L17" s="13"/>
      <c r="M17" s="13"/>
      <c r="N17" s="13"/>
    </row>
    <row r="18" spans="1:14" x14ac:dyDescent="0.35">
      <c r="B18" s="12" t="s">
        <v>33</v>
      </c>
      <c r="C18" s="13">
        <v>56</v>
      </c>
      <c r="D18" s="13">
        <v>29</v>
      </c>
      <c r="E18" s="13">
        <v>41</v>
      </c>
      <c r="F18" s="13">
        <v>20</v>
      </c>
      <c r="G18" s="13">
        <v>1</v>
      </c>
      <c r="H18" s="13">
        <v>120</v>
      </c>
      <c r="I18" s="13">
        <v>462</v>
      </c>
      <c r="J18" s="13"/>
      <c r="K18" s="13"/>
      <c r="L18" s="13"/>
      <c r="M18" s="13"/>
      <c r="N18" s="13"/>
    </row>
    <row r="19" spans="1:14" x14ac:dyDescent="0.35">
      <c r="B19" s="10" t="s">
        <v>34</v>
      </c>
      <c r="C19" s="11">
        <v>11</v>
      </c>
      <c r="D19" s="11">
        <v>9</v>
      </c>
      <c r="E19" s="11">
        <v>-8</v>
      </c>
      <c r="F19" s="11">
        <v>15</v>
      </c>
      <c r="G19" s="11">
        <v>-66</v>
      </c>
      <c r="H19" s="11">
        <v>-43</v>
      </c>
      <c r="I19" s="11">
        <v>119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35">
      <c r="B20" s="10" t="s">
        <v>35</v>
      </c>
      <c r="C20" s="11">
        <v>-146</v>
      </c>
      <c r="D20" s="11">
        <v>-88</v>
      </c>
      <c r="E20" s="11">
        <v>-212</v>
      </c>
      <c r="F20" s="11">
        <v>146</v>
      </c>
      <c r="G20" s="11">
        <v>-12</v>
      </c>
      <c r="H20" s="11">
        <v>-22</v>
      </c>
      <c r="I20" s="11">
        <v>-111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</row>
    <row r="21" spans="1:14" x14ac:dyDescent="0.35">
      <c r="B21" s="10" t="s">
        <v>36</v>
      </c>
      <c r="C21" s="11">
        <v>-166</v>
      </c>
      <c r="D21" s="11">
        <v>-170</v>
      </c>
      <c r="E21" s="11">
        <v>-123</v>
      </c>
      <c r="F21" s="11">
        <v>-156</v>
      </c>
      <c r="G21" s="11">
        <v>-83</v>
      </c>
      <c r="H21" s="11">
        <v>-341</v>
      </c>
      <c r="I21" s="11">
        <v>189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x14ac:dyDescent="0.35">
      <c r="A22" s="20"/>
      <c r="B22" s="8" t="s">
        <v>37</v>
      </c>
      <c r="C22" s="9">
        <v>4108</v>
      </c>
      <c r="D22" s="9">
        <v>4475</v>
      </c>
      <c r="E22" s="9">
        <v>5042</v>
      </c>
      <c r="F22" s="9">
        <v>1824</v>
      </c>
      <c r="G22" s="9">
        <v>3820</v>
      </c>
      <c r="H22" s="9">
        <v>6153</v>
      </c>
      <c r="I22" s="9">
        <f>I14-I15</f>
        <v>7019</v>
      </c>
      <c r="J22" s="9">
        <f>J14-J15</f>
        <v>7538.0140000000001</v>
      </c>
      <c r="K22" s="9">
        <f t="shared" ref="K22:M22" si="4">K14-K15</f>
        <v>7926.16254768</v>
      </c>
      <c r="L22" s="9">
        <f t="shared" si="4"/>
        <v>8307.6032507436012</v>
      </c>
      <c r="M22" s="9">
        <f t="shared" si="4"/>
        <v>8686.460160300885</v>
      </c>
      <c r="N22" s="9">
        <f t="shared" ref="N22" si="5">N14-N15</f>
        <v>9085.0159354775424</v>
      </c>
    </row>
    <row r="23" spans="1:14" x14ac:dyDescent="0.35">
      <c r="B23" s="10" t="s">
        <v>38</v>
      </c>
      <c r="C23" s="11">
        <v>1271</v>
      </c>
      <c r="D23" s="11">
        <v>1418</v>
      </c>
      <c r="E23" s="11">
        <v>1634</v>
      </c>
      <c r="F23" s="11">
        <v>807</v>
      </c>
      <c r="G23" s="11">
        <v>1625</v>
      </c>
      <c r="H23" s="11">
        <v>1737</v>
      </c>
      <c r="I23" s="11">
        <v>1917</v>
      </c>
      <c r="J23" s="11">
        <f>J306</f>
        <v>2110.6439200000004</v>
      </c>
      <c r="K23" s="11">
        <f t="shared" ref="K23:M23" si="6">K306</f>
        <v>2219.3255133504003</v>
      </c>
      <c r="L23" s="11">
        <f t="shared" si="6"/>
        <v>2326.1289102082087</v>
      </c>
      <c r="M23" s="11">
        <f t="shared" si="6"/>
        <v>2432.2088448842483</v>
      </c>
      <c r="N23" s="11">
        <f>N306</f>
        <v>2543.804461933712</v>
      </c>
    </row>
    <row r="24" spans="1:14" x14ac:dyDescent="0.35">
      <c r="B24" s="10" t="s">
        <v>39</v>
      </c>
      <c r="C24" s="11">
        <v>1537</v>
      </c>
      <c r="D24" s="11">
        <v>1529</v>
      </c>
      <c r="E24" s="11">
        <v>1791</v>
      </c>
      <c r="F24" s="11">
        <v>844</v>
      </c>
      <c r="G24" s="11">
        <v>1509</v>
      </c>
      <c r="H24" s="11">
        <v>1809</v>
      </c>
      <c r="I24" s="11">
        <v>2332</v>
      </c>
      <c r="J24" s="11"/>
      <c r="K24" s="11"/>
      <c r="L24" s="11"/>
      <c r="M24" s="11"/>
      <c r="N24" s="11"/>
    </row>
    <row r="25" spans="1:14" x14ac:dyDescent="0.35">
      <c r="B25" s="10" t="s">
        <v>40</v>
      </c>
      <c r="C25" s="11">
        <v>-266</v>
      </c>
      <c r="D25" s="11">
        <v>-111</v>
      </c>
      <c r="E25" s="11">
        <v>-157</v>
      </c>
      <c r="F25" s="11">
        <v>-37</v>
      </c>
      <c r="G25" s="11">
        <v>116</v>
      </c>
      <c r="H25" s="11">
        <v>-72</v>
      </c>
      <c r="I25" s="11">
        <v>-415</v>
      </c>
      <c r="J25" s="11"/>
      <c r="K25" s="11"/>
      <c r="L25" s="11"/>
      <c r="M25" s="11"/>
      <c r="N25" s="11"/>
    </row>
    <row r="26" spans="1:14" x14ac:dyDescent="0.35">
      <c r="B26" s="8" t="s">
        <v>41</v>
      </c>
      <c r="C26" s="9">
        <v>2837</v>
      </c>
      <c r="D26" s="9">
        <v>3057</v>
      </c>
      <c r="E26" s="9">
        <v>3408</v>
      </c>
      <c r="F26" s="9">
        <v>1017</v>
      </c>
      <c r="G26" s="9">
        <v>2195</v>
      </c>
      <c r="H26" s="9">
        <v>4416</v>
      </c>
      <c r="I26" s="9">
        <v>5102</v>
      </c>
      <c r="J26" s="9">
        <f>J22-J23</f>
        <v>5427.3700799999997</v>
      </c>
      <c r="K26" s="9">
        <f t="shared" ref="K26:M26" si="7">K22-K23</f>
        <v>5706.8370343295992</v>
      </c>
      <c r="L26" s="9">
        <f t="shared" si="7"/>
        <v>5981.4743405353929</v>
      </c>
      <c r="M26" s="9">
        <f t="shared" si="7"/>
        <v>6254.2513154166372</v>
      </c>
      <c r="N26" s="9">
        <f t="shared" ref="N26" si="8">N22-N23</f>
        <v>6541.2114735438299</v>
      </c>
    </row>
    <row r="27" spans="1:14" x14ac:dyDescent="0.35">
      <c r="B27" s="10" t="s">
        <v>42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</row>
    <row r="28" spans="1:14" x14ac:dyDescent="0.35">
      <c r="B28" s="10" t="s">
        <v>43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</row>
    <row r="29" spans="1:14" x14ac:dyDescent="0.35">
      <c r="B29" s="10" t="s">
        <v>44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</row>
    <row r="30" spans="1:14" x14ac:dyDescent="0.35">
      <c r="B30" s="8" t="s">
        <v>45</v>
      </c>
      <c r="C30" s="9">
        <v>2837</v>
      </c>
      <c r="D30" s="9">
        <v>3057</v>
      </c>
      <c r="E30" s="9">
        <v>3408</v>
      </c>
      <c r="F30" s="9">
        <v>1017</v>
      </c>
      <c r="G30" s="9">
        <v>2195</v>
      </c>
      <c r="H30" s="9">
        <v>4416</v>
      </c>
      <c r="I30" s="9">
        <v>5102</v>
      </c>
      <c r="J30" s="9">
        <f>J26-SUM(J27:J29)</f>
        <v>5427.3700799999997</v>
      </c>
      <c r="K30" s="9">
        <f t="shared" ref="K30:M30" si="9">K26-SUM(K27:K29)</f>
        <v>5706.8370343295992</v>
      </c>
      <c r="L30" s="9">
        <f t="shared" si="9"/>
        <v>5981.4743405353929</v>
      </c>
      <c r="M30" s="9">
        <f t="shared" si="9"/>
        <v>6254.2513154166372</v>
      </c>
      <c r="N30" s="9">
        <f t="shared" ref="N30" si="10">N26-SUM(N27:N29)</f>
        <v>6541.2114735438299</v>
      </c>
    </row>
    <row r="31" spans="1:14" x14ac:dyDescent="0.35">
      <c r="B31" s="10" t="s">
        <v>46</v>
      </c>
      <c r="C31" s="11">
        <v>90</v>
      </c>
      <c r="D31" s="11">
        <v>74</v>
      </c>
      <c r="E31" s="11">
        <v>148</v>
      </c>
      <c r="F31" s="11">
        <v>-226</v>
      </c>
      <c r="G31" s="11">
        <v>-402</v>
      </c>
      <c r="H31" s="11">
        <v>157</v>
      </c>
      <c r="I31" s="11">
        <v>400</v>
      </c>
      <c r="J31" s="11">
        <v>400</v>
      </c>
      <c r="K31" s="11">
        <v>400</v>
      </c>
      <c r="L31" s="11">
        <v>400</v>
      </c>
      <c r="M31" s="11">
        <v>400</v>
      </c>
      <c r="N31" s="11">
        <v>401</v>
      </c>
    </row>
    <row r="32" spans="1:14" x14ac:dyDescent="0.35">
      <c r="B32" s="8" t="s">
        <v>47</v>
      </c>
      <c r="C32" s="9">
        <v>2747</v>
      </c>
      <c r="D32" s="9">
        <v>2983</v>
      </c>
      <c r="E32" s="9">
        <v>3260</v>
      </c>
      <c r="F32" s="9">
        <v>1243</v>
      </c>
      <c r="G32" s="9">
        <v>2597</v>
      </c>
      <c r="H32" s="9">
        <v>4259</v>
      </c>
      <c r="I32" s="9">
        <v>4702</v>
      </c>
      <c r="J32" s="9">
        <f>J30-J31</f>
        <v>5027.3700799999997</v>
      </c>
      <c r="K32" s="9">
        <f t="shared" ref="K32:M32" si="11">K30-K31</f>
        <v>5306.8370343295992</v>
      </c>
      <c r="L32" s="9">
        <f t="shared" si="11"/>
        <v>5581.4743405353929</v>
      </c>
      <c r="M32" s="9">
        <f t="shared" si="11"/>
        <v>5854.2513154166372</v>
      </c>
      <c r="N32" s="9">
        <f t="shared" ref="N32" si="12">N30-N31</f>
        <v>6140.2114735438299</v>
      </c>
    </row>
    <row r="33" spans="2:14" x14ac:dyDescent="0.35">
      <c r="B33" s="10" t="s">
        <v>48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</row>
    <row r="34" spans="2:14" x14ac:dyDescent="0.35">
      <c r="B34" s="10" t="s">
        <v>49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</row>
    <row r="35" spans="2:14" x14ac:dyDescent="0.35">
      <c r="B35" s="8" t="s">
        <v>50</v>
      </c>
      <c r="C35" s="9">
        <v>2747</v>
      </c>
      <c r="D35" s="9">
        <v>2983</v>
      </c>
      <c r="E35" s="9">
        <v>3260</v>
      </c>
      <c r="F35" s="9">
        <v>1243</v>
      </c>
      <c r="G35" s="9">
        <v>2597</v>
      </c>
      <c r="H35" s="9">
        <v>4259</v>
      </c>
      <c r="I35" s="9">
        <v>4702</v>
      </c>
      <c r="J35" s="9">
        <f>J32-SUM(J33:J34)</f>
        <v>5027.3700799999997</v>
      </c>
      <c r="K35" s="9">
        <f t="shared" ref="K35:M35" si="13">K32-SUM(K33:K34)</f>
        <v>5306.8370343295992</v>
      </c>
      <c r="L35" s="9">
        <f t="shared" si="13"/>
        <v>5581.4743405353929</v>
      </c>
      <c r="M35" s="9">
        <f t="shared" si="13"/>
        <v>5854.2513154166372</v>
      </c>
      <c r="N35" s="9">
        <f t="shared" ref="N35" si="14">N32-SUM(N33:N34)</f>
        <v>6140.2114735438299</v>
      </c>
    </row>
    <row r="36" spans="2:14" x14ac:dyDescent="0.35">
      <c r="B36" s="8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spans="2:14" x14ac:dyDescent="0.35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spans="2:14" x14ac:dyDescent="0.35"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2:14" x14ac:dyDescent="0.35"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2:14" x14ac:dyDescent="0.35">
      <c r="B40" s="8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spans="2:14" x14ac:dyDescent="0.35"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2:14" x14ac:dyDescent="0.35">
      <c r="B42" s="8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2:14" x14ac:dyDescent="0.35">
      <c r="B43" s="8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2:14" x14ac:dyDescent="0.35">
      <c r="B44" s="8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2:14" x14ac:dyDescent="0.35">
      <c r="B45" s="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2:14" x14ac:dyDescent="0.35">
      <c r="B46" s="10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2:14" x14ac:dyDescent="0.35">
      <c r="B47" s="8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2:14" x14ac:dyDescent="0.35">
      <c r="B48" s="8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2:14" x14ac:dyDescent="0.35">
      <c r="B49" s="8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2:14" x14ac:dyDescent="0.35">
      <c r="B50" s="8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2:14" x14ac:dyDescent="0.35">
      <c r="B51" s="8" t="s">
        <v>51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2:14" x14ac:dyDescent="0.35">
      <c r="B52" s="10" t="s">
        <v>52</v>
      </c>
      <c r="C52" s="16" t="s">
        <v>53</v>
      </c>
      <c r="D52" s="16" t="s">
        <v>53</v>
      </c>
      <c r="E52" s="16" t="s">
        <v>53</v>
      </c>
      <c r="F52" s="16" t="s">
        <v>53</v>
      </c>
      <c r="G52" s="16" t="s">
        <v>53</v>
      </c>
      <c r="H52" s="16" t="s">
        <v>53</v>
      </c>
      <c r="I52" s="16" t="s">
        <v>53</v>
      </c>
      <c r="J52" s="16"/>
      <c r="K52" s="16"/>
      <c r="L52" s="16"/>
      <c r="M52" s="16"/>
      <c r="N52" s="16"/>
    </row>
    <row r="53" spans="2:14" x14ac:dyDescent="0.35">
      <c r="B53" s="10" t="s">
        <v>54</v>
      </c>
      <c r="C53" s="11">
        <v>6532</v>
      </c>
      <c r="D53" s="11">
        <v>7074</v>
      </c>
      <c r="E53" s="11">
        <v>8492</v>
      </c>
      <c r="F53" s="11">
        <v>5776</v>
      </c>
      <c r="G53" s="11">
        <v>7644</v>
      </c>
      <c r="H53" s="11">
        <v>10079</v>
      </c>
      <c r="I53" s="11">
        <v>11758</v>
      </c>
      <c r="J53" s="11">
        <v>12462.938</v>
      </c>
      <c r="K53" s="11">
        <v>13116.188</v>
      </c>
      <c r="L53" s="11"/>
      <c r="M53" s="11"/>
      <c r="N53" s="11"/>
    </row>
    <row r="54" spans="2:14" x14ac:dyDescent="0.35">
      <c r="B54" s="10" t="s">
        <v>55</v>
      </c>
      <c r="C54" s="17">
        <v>15.98</v>
      </c>
      <c r="D54" s="17">
        <v>16.021899999999999</v>
      </c>
      <c r="E54" s="17">
        <v>17.418800000000001</v>
      </c>
      <c r="F54" s="17">
        <v>13.148199999999999</v>
      </c>
      <c r="G54" s="17">
        <v>15.2935</v>
      </c>
      <c r="H54" s="17">
        <v>16.1873</v>
      </c>
      <c r="I54" s="17">
        <v>16.889299999999999</v>
      </c>
      <c r="J54" s="17">
        <v>17.335474636056201</v>
      </c>
      <c r="K54" s="17">
        <v>17.6565370042178</v>
      </c>
      <c r="L54" s="17"/>
      <c r="M54" s="17"/>
      <c r="N54" s="17"/>
    </row>
    <row r="55" spans="2:14" x14ac:dyDescent="0.35">
      <c r="B55" s="10" t="s">
        <v>56</v>
      </c>
      <c r="C55" s="11">
        <v>5547</v>
      </c>
      <c r="D55" s="11">
        <v>6149</v>
      </c>
      <c r="E55" s="11">
        <v>6844</v>
      </c>
      <c r="F55" s="11">
        <v>4000</v>
      </c>
      <c r="G55" s="11">
        <v>5858</v>
      </c>
      <c r="H55" s="11">
        <v>8136</v>
      </c>
      <c r="I55" s="11">
        <v>9771</v>
      </c>
      <c r="J55" s="11"/>
      <c r="K55" s="11"/>
      <c r="L55" s="11"/>
      <c r="M55" s="11"/>
      <c r="N55" s="11"/>
    </row>
    <row r="56" spans="2:14" x14ac:dyDescent="0.35">
      <c r="B56" s="10" t="s">
        <v>57</v>
      </c>
      <c r="C56" s="11">
        <v>4404</v>
      </c>
      <c r="D56" s="11">
        <v>4832</v>
      </c>
      <c r="E56" s="11">
        <v>5452</v>
      </c>
      <c r="F56" s="11">
        <v>2605</v>
      </c>
      <c r="G56" s="11">
        <v>4425</v>
      </c>
      <c r="H56" s="11">
        <v>6466</v>
      </c>
      <c r="I56" s="11">
        <v>7959</v>
      </c>
      <c r="J56" s="11">
        <v>8613.0589999999993</v>
      </c>
      <c r="K56" s="11">
        <v>9088.4709999999995</v>
      </c>
      <c r="L56" s="11"/>
      <c r="M56" s="11"/>
      <c r="N56" s="11"/>
    </row>
    <row r="57" spans="2:14" x14ac:dyDescent="0.35">
      <c r="B57" s="10" t="s">
        <v>58</v>
      </c>
      <c r="C57" s="17">
        <v>10.773999999999999</v>
      </c>
      <c r="D57" s="17">
        <v>10.944000000000001</v>
      </c>
      <c r="E57" s="17">
        <v>11.1831</v>
      </c>
      <c r="F57" s="17">
        <v>5.9298999999999999</v>
      </c>
      <c r="G57" s="17">
        <v>8.8531999999999993</v>
      </c>
      <c r="H57" s="17">
        <v>10.384600000000001</v>
      </c>
      <c r="I57" s="17">
        <v>11.432399999999999</v>
      </c>
      <c r="J57" s="17">
        <v>11.980438788458599</v>
      </c>
      <c r="K57" s="17">
        <v>12.234570328151801</v>
      </c>
      <c r="L57" s="17"/>
      <c r="M57" s="17"/>
      <c r="N57" s="17"/>
    </row>
    <row r="58" spans="2:14" x14ac:dyDescent="0.35">
      <c r="B58" s="10" t="s">
        <v>59</v>
      </c>
      <c r="C58" s="17">
        <v>6.7202999999999999</v>
      </c>
      <c r="D58" s="17">
        <v>6.7561999999999998</v>
      </c>
      <c r="E58" s="17">
        <v>6.6868999999999996</v>
      </c>
      <c r="F58" s="17">
        <v>2.8294999999999999</v>
      </c>
      <c r="G58" s="17">
        <v>5.1959</v>
      </c>
      <c r="H58" s="17">
        <v>6.8400999999999996</v>
      </c>
      <c r="I58" s="17">
        <v>6.7539999999999996</v>
      </c>
      <c r="J58" s="17">
        <v>6.8648890615907501</v>
      </c>
      <c r="K58" s="17">
        <v>7.1031515618723704</v>
      </c>
      <c r="L58" s="17"/>
      <c r="M58" s="17"/>
      <c r="N58" s="17"/>
    </row>
    <row r="59" spans="2:14" x14ac:dyDescent="0.35">
      <c r="B59" s="10" t="s">
        <v>60</v>
      </c>
      <c r="C59" s="17">
        <v>212583.6012</v>
      </c>
      <c r="D59" s="17">
        <v>215612.2574</v>
      </c>
      <c r="E59" s="17">
        <v>222340.7991</v>
      </c>
      <c r="F59" s="17">
        <v>200227.89430000001</v>
      </c>
      <c r="G59" s="17">
        <v>228678.3579</v>
      </c>
      <c r="H59" s="17">
        <v>232332.08960000001</v>
      </c>
      <c r="I59" s="17">
        <v>249146.4645</v>
      </c>
      <c r="J59" s="17"/>
      <c r="K59" s="17"/>
      <c r="L59" s="17"/>
      <c r="M59" s="17"/>
      <c r="N59" s="17"/>
    </row>
    <row r="60" spans="2:14" x14ac:dyDescent="0.35">
      <c r="B60" s="10" t="s">
        <v>61</v>
      </c>
      <c r="C60" s="17">
        <v>2.4500000000000002</v>
      </c>
      <c r="D60" s="17">
        <v>2.67</v>
      </c>
      <c r="E60" s="17">
        <v>2.04</v>
      </c>
      <c r="F60" s="17">
        <v>2.04</v>
      </c>
      <c r="G60" s="17">
        <v>2.9</v>
      </c>
      <c r="H60" s="17">
        <v>4</v>
      </c>
      <c r="I60" s="17">
        <v>4.5</v>
      </c>
      <c r="J60" s="17">
        <v>4.7640000000000002</v>
      </c>
      <c r="K60" s="17">
        <v>5.1390000000000002</v>
      </c>
      <c r="L60" s="17"/>
      <c r="M60" s="17"/>
      <c r="N60" s="17"/>
    </row>
    <row r="61" spans="2:14" x14ac:dyDescent="0.35">
      <c r="B61" s="10" t="s">
        <v>62</v>
      </c>
      <c r="C61" s="11">
        <v>1360</v>
      </c>
      <c r="D61" s="11">
        <v>1481.2262000000001</v>
      </c>
      <c r="E61" s="11">
        <v>1131.6818000000001</v>
      </c>
      <c r="F61" s="11">
        <v>1146.6059</v>
      </c>
      <c r="G61" s="11">
        <v>1645.9837</v>
      </c>
      <c r="H61" s="11">
        <v>2254.3861000000002</v>
      </c>
      <c r="I61" s="11">
        <v>2568.6446000000001</v>
      </c>
      <c r="J61" s="11"/>
      <c r="K61" s="11"/>
      <c r="L61" s="11"/>
      <c r="M61" s="11"/>
      <c r="N61" s="11"/>
    </row>
    <row r="62" spans="2:14" x14ac:dyDescent="0.35">
      <c r="B62" s="10" t="s">
        <v>63</v>
      </c>
      <c r="C62" s="11">
        <v>86</v>
      </c>
      <c r="D62" s="11">
        <v>56</v>
      </c>
      <c r="E62" s="11">
        <v>0</v>
      </c>
      <c r="F62" s="11" t="s">
        <v>24</v>
      </c>
      <c r="G62" s="11" t="s">
        <v>24</v>
      </c>
      <c r="H62" s="11" t="s">
        <v>24</v>
      </c>
      <c r="I62" s="11" t="s">
        <v>24</v>
      </c>
      <c r="J62" s="11"/>
      <c r="K62" s="11"/>
      <c r="L62" s="11"/>
      <c r="M62" s="11"/>
      <c r="N62" s="11"/>
    </row>
    <row r="63" spans="2:14" x14ac:dyDescent="0.35">
      <c r="B63" s="10" t="s">
        <v>64</v>
      </c>
      <c r="C63" s="11">
        <v>10955</v>
      </c>
      <c r="D63" s="11">
        <v>11999</v>
      </c>
      <c r="E63" s="11">
        <v>11836</v>
      </c>
      <c r="F63" s="11">
        <v>11642</v>
      </c>
      <c r="G63" s="11">
        <v>12488</v>
      </c>
      <c r="H63" s="11">
        <v>14979</v>
      </c>
      <c r="I63" s="11">
        <v>16352</v>
      </c>
      <c r="J63" s="11"/>
      <c r="K63" s="11"/>
      <c r="L63" s="11"/>
      <c r="M63" s="11"/>
      <c r="N63" s="11"/>
    </row>
    <row r="64" spans="2:14" x14ac:dyDescent="0.35">
      <c r="B64" s="18" t="s">
        <v>65</v>
      </c>
      <c r="C64" s="19">
        <v>2128</v>
      </c>
      <c r="D64" s="19">
        <v>22424</v>
      </c>
      <c r="E64" s="19">
        <v>3040</v>
      </c>
      <c r="F64" s="19">
        <v>3171</v>
      </c>
      <c r="G64" s="19">
        <v>3219</v>
      </c>
      <c r="H64" s="19">
        <v>3613</v>
      </c>
      <c r="I64" s="19">
        <v>3799</v>
      </c>
      <c r="J64" s="19"/>
      <c r="K64" s="19"/>
      <c r="L64" s="19"/>
      <c r="M64" s="19"/>
      <c r="N64" s="19"/>
    </row>
    <row r="67" spans="1:16" x14ac:dyDescent="0.35">
      <c r="A67" t="s">
        <v>68</v>
      </c>
      <c r="B67" s="4" t="s">
        <v>1</v>
      </c>
      <c r="C67" s="5" t="s">
        <v>2</v>
      </c>
      <c r="D67" s="5" t="s">
        <v>3</v>
      </c>
      <c r="E67" s="5" t="s">
        <v>4</v>
      </c>
      <c r="F67" s="5" t="s">
        <v>5</v>
      </c>
      <c r="G67" s="5" t="s">
        <v>6</v>
      </c>
      <c r="H67" s="5" t="s">
        <v>7</v>
      </c>
      <c r="I67" s="5" t="s">
        <v>8</v>
      </c>
      <c r="J67" s="5" t="s">
        <v>9</v>
      </c>
      <c r="K67" s="5" t="s">
        <v>10</v>
      </c>
      <c r="L67" s="5" t="s">
        <v>66</v>
      </c>
      <c r="M67" s="5" t="s">
        <v>67</v>
      </c>
      <c r="N67" s="5" t="s">
        <v>67</v>
      </c>
    </row>
    <row r="68" spans="1:16" x14ac:dyDescent="0.35">
      <c r="B68" s="6" t="s">
        <v>11</v>
      </c>
      <c r="C68" s="7" t="s">
        <v>12</v>
      </c>
      <c r="D68" s="7" t="s">
        <v>13</v>
      </c>
      <c r="E68" s="7" t="s">
        <v>14</v>
      </c>
      <c r="F68" s="7" t="s">
        <v>15</v>
      </c>
      <c r="G68" s="7" t="s">
        <v>16</v>
      </c>
      <c r="H68" s="7" t="s">
        <v>17</v>
      </c>
      <c r="I68" s="7" t="s">
        <v>18</v>
      </c>
      <c r="J68" s="7"/>
      <c r="K68" s="7"/>
      <c r="L68" s="7"/>
      <c r="M68" s="7"/>
      <c r="N68" s="7"/>
    </row>
    <row r="69" spans="1:16" x14ac:dyDescent="0.35">
      <c r="B69" s="8" t="s">
        <v>72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20"/>
      <c r="P69" s="20"/>
    </row>
    <row r="70" spans="1:16" x14ac:dyDescent="0.35">
      <c r="B70" s="10" t="s">
        <v>73</v>
      </c>
      <c r="C70" s="11">
        <v>7029</v>
      </c>
      <c r="D70" s="11">
        <v>8242</v>
      </c>
      <c r="E70" s="11">
        <v>8597</v>
      </c>
      <c r="F70" s="11">
        <v>11932</v>
      </c>
      <c r="G70" s="11">
        <v>11365</v>
      </c>
      <c r="H70" s="11">
        <v>13417</v>
      </c>
      <c r="I70" s="11">
        <v>16251</v>
      </c>
      <c r="J70" s="20">
        <f>J138-SUM(J73,J76,J77,J83,J86,J89)</f>
        <v>22065.579908014159</v>
      </c>
      <c r="K70" s="20">
        <f t="shared" ref="K70:M70" ca="1" si="15">K138-SUM(K73,K76,K77,K83,K86,K89)</f>
        <v>26279.131151137582</v>
      </c>
      <c r="L70" s="20">
        <f t="shared" ca="1" si="15"/>
        <v>30781.826180857679</v>
      </c>
      <c r="M70" s="20">
        <f t="shared" ca="1" si="15"/>
        <v>36439.980428393726</v>
      </c>
      <c r="N70" s="20">
        <f ca="1">N138-SUM(N73,N76,N77,N83,N86,N89)</f>
        <v>42555.391884103243</v>
      </c>
    </row>
    <row r="71" spans="1:16" x14ac:dyDescent="0.35">
      <c r="B71" s="10" t="s">
        <v>74</v>
      </c>
      <c r="C71" s="11">
        <v>5710</v>
      </c>
      <c r="D71" s="11">
        <v>6551</v>
      </c>
      <c r="E71" s="11">
        <v>7261</v>
      </c>
      <c r="F71" s="11">
        <v>7981</v>
      </c>
      <c r="G71" s="11">
        <v>10332</v>
      </c>
      <c r="H71" s="11">
        <v>11251</v>
      </c>
      <c r="I71" s="11">
        <v>13775</v>
      </c>
      <c r="J71" s="11"/>
      <c r="K71" s="11"/>
      <c r="L71" s="11"/>
      <c r="M71" s="11"/>
      <c r="N71" s="11"/>
    </row>
    <row r="72" spans="1:16" x14ac:dyDescent="0.35">
      <c r="B72" s="10" t="s">
        <v>75</v>
      </c>
      <c r="C72" s="11">
        <v>1319</v>
      </c>
      <c r="D72" s="11">
        <v>1691</v>
      </c>
      <c r="E72" s="11">
        <v>1336</v>
      </c>
      <c r="F72" s="11">
        <v>3951</v>
      </c>
      <c r="G72" s="11">
        <v>1033</v>
      </c>
      <c r="H72" s="11">
        <v>2166</v>
      </c>
      <c r="I72" s="11">
        <v>2476</v>
      </c>
      <c r="J72" s="11"/>
      <c r="K72" s="11"/>
      <c r="L72" s="11"/>
      <c r="M72" s="11"/>
      <c r="N72" s="11"/>
    </row>
    <row r="73" spans="1:16" x14ac:dyDescent="0.35">
      <c r="B73" s="10" t="s">
        <v>76</v>
      </c>
      <c r="C73" s="11">
        <v>6361</v>
      </c>
      <c r="D73" s="11">
        <v>7036</v>
      </c>
      <c r="E73" s="11">
        <v>7694</v>
      </c>
      <c r="F73" s="11">
        <v>6227</v>
      </c>
      <c r="G73" s="11">
        <v>7916</v>
      </c>
      <c r="H73" s="11">
        <v>8593</v>
      </c>
      <c r="I73" s="11">
        <v>8827</v>
      </c>
      <c r="J73" s="11">
        <f>J171*J$7</f>
        <v>9722.3463000000011</v>
      </c>
      <c r="K73" s="11">
        <f t="shared" ref="K73:M73" si="16">K171*K$7</f>
        <v>10492.013980000002</v>
      </c>
      <c r="L73" s="11">
        <f t="shared" si="16"/>
        <v>11324.79817539</v>
      </c>
      <c r="M73" s="11">
        <f t="shared" si="16"/>
        <v>12211.618949985001</v>
      </c>
      <c r="N73" s="11">
        <f t="shared" ref="N73" si="17">N171*N$7</f>
        <v>12731.570329216773</v>
      </c>
    </row>
    <row r="74" spans="1:16" x14ac:dyDescent="0.35">
      <c r="B74" s="10" t="s">
        <v>77</v>
      </c>
      <c r="C74" s="11">
        <v>6361</v>
      </c>
      <c r="D74" s="11">
        <v>7036</v>
      </c>
      <c r="E74" s="11">
        <v>7694</v>
      </c>
      <c r="F74" s="11">
        <v>6227</v>
      </c>
      <c r="G74" s="11">
        <v>7916</v>
      </c>
      <c r="H74" s="11">
        <v>8593</v>
      </c>
      <c r="I74" s="11">
        <v>8827</v>
      </c>
      <c r="J74" s="11">
        <f>J73</f>
        <v>9722.3463000000011</v>
      </c>
      <c r="K74" s="11">
        <f t="shared" ref="K74:M74" si="18">K73</f>
        <v>10492.013980000002</v>
      </c>
      <c r="L74" s="11">
        <f t="shared" si="18"/>
        <v>11324.79817539</v>
      </c>
      <c r="M74" s="11">
        <f t="shared" si="18"/>
        <v>12211.618949985001</v>
      </c>
      <c r="N74" s="11">
        <f t="shared" ref="N74" si="19">N73</f>
        <v>12731.570329216773</v>
      </c>
    </row>
    <row r="75" spans="1:16" x14ac:dyDescent="0.35">
      <c r="B75" s="10" t="s">
        <v>78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1</v>
      </c>
    </row>
    <row r="76" spans="1:16" x14ac:dyDescent="0.35">
      <c r="B76" s="10" t="s">
        <v>79</v>
      </c>
      <c r="C76" s="11">
        <v>1056</v>
      </c>
      <c r="D76" s="11">
        <v>1173</v>
      </c>
      <c r="E76" s="11">
        <v>1434</v>
      </c>
      <c r="F76" s="11">
        <v>1428</v>
      </c>
      <c r="G76" s="11">
        <v>1591</v>
      </c>
      <c r="H76" s="11">
        <v>1785</v>
      </c>
      <c r="I76" s="11">
        <v>1878</v>
      </c>
      <c r="J76" s="11">
        <f>J174*J$7</f>
        <v>2160.5214000000001</v>
      </c>
      <c r="K76" s="11">
        <f t="shared" ref="K76:M76" si="20">K174*K$7</f>
        <v>2248.2887100000003</v>
      </c>
      <c r="L76" s="11">
        <f t="shared" si="20"/>
        <v>2343.06169146</v>
      </c>
      <c r="M76" s="11">
        <f t="shared" si="20"/>
        <v>2442.3237899969999</v>
      </c>
      <c r="N76" s="11">
        <f t="shared" ref="N76" si="21">N174*N$7</f>
        <v>2546.3140658433545</v>
      </c>
    </row>
    <row r="77" spans="1:16" x14ac:dyDescent="0.35">
      <c r="B77" s="10" t="s">
        <v>80</v>
      </c>
      <c r="C77" s="11">
        <v>11831</v>
      </c>
      <c r="D77" s="11">
        <v>12170</v>
      </c>
      <c r="E77" s="11">
        <v>12503</v>
      </c>
      <c r="F77" s="11">
        <v>12452</v>
      </c>
      <c r="G77" s="11">
        <v>15050</v>
      </c>
      <c r="H77" s="11">
        <v>17902</v>
      </c>
      <c r="I77" s="11">
        <v>18816</v>
      </c>
      <c r="J77" s="11">
        <f>SUM(J78:J81)</f>
        <v>19948.814260000003</v>
      </c>
      <c r="K77" s="11">
        <f t="shared" ref="K77:M77" si="22">SUM(K78:K81)</f>
        <v>20759.199089000002</v>
      </c>
      <c r="L77" s="11">
        <f t="shared" si="22"/>
        <v>21634.269617814003</v>
      </c>
      <c r="M77" s="11">
        <f t="shared" si="22"/>
        <v>22550.789660972303</v>
      </c>
      <c r="N77" s="11">
        <f t="shared" ref="N77" si="23">SUM(N78:N81)</f>
        <v>23510.966541286973</v>
      </c>
    </row>
    <row r="78" spans="1:16" x14ac:dyDescent="0.35">
      <c r="B78" s="10" t="s">
        <v>81</v>
      </c>
      <c r="C78" s="11">
        <v>261</v>
      </c>
      <c r="D78" s="11">
        <v>258</v>
      </c>
      <c r="E78" s="11">
        <v>210</v>
      </c>
      <c r="F78" s="11">
        <v>201</v>
      </c>
      <c r="G78" s="11">
        <v>291</v>
      </c>
      <c r="H78" s="11">
        <v>115</v>
      </c>
      <c r="I78" s="11">
        <v>94</v>
      </c>
      <c r="J78" s="11">
        <f>J176*J$7</f>
        <v>144.03476000000001</v>
      </c>
      <c r="K78" s="11">
        <f t="shared" ref="K78:M78" si="24">K176*K$7</f>
        <v>149.88591400000001</v>
      </c>
      <c r="L78" s="11">
        <f t="shared" si="24"/>
        <v>156.20411276400003</v>
      </c>
      <c r="M78" s="11">
        <f t="shared" si="24"/>
        <v>162.82158599980002</v>
      </c>
      <c r="N78" s="11">
        <f t="shared" ref="N78" si="25">N176*N$7</f>
        <v>169.75427105622364</v>
      </c>
    </row>
    <row r="79" spans="1:16" x14ac:dyDescent="0.35">
      <c r="B79" s="10" t="s">
        <v>82</v>
      </c>
      <c r="C79" s="11" t="s">
        <v>24</v>
      </c>
      <c r="D79" s="11" t="s">
        <v>24</v>
      </c>
      <c r="E79" s="11" t="s">
        <v>24</v>
      </c>
      <c r="F79" s="11" t="s">
        <v>24</v>
      </c>
      <c r="G79" s="11">
        <v>569</v>
      </c>
      <c r="H79">
        <v>627</v>
      </c>
      <c r="I79" s="11">
        <v>702</v>
      </c>
      <c r="J79" s="11">
        <f>J177*J$7</f>
        <v>720.17380000000003</v>
      </c>
      <c r="K79" s="11">
        <f t="shared" ref="K79:M79" si="26">K177*K$7</f>
        <v>749.42957000000013</v>
      </c>
      <c r="L79" s="11">
        <f t="shared" si="26"/>
        <v>781.02056382000012</v>
      </c>
      <c r="M79" s="11">
        <f t="shared" si="26"/>
        <v>814.10792999900002</v>
      </c>
      <c r="N79" s="11">
        <f t="shared" ref="N79" si="27">N177*N$7</f>
        <v>848.77135528111819</v>
      </c>
    </row>
    <row r="80" spans="1:16" x14ac:dyDescent="0.35">
      <c r="B80" s="10" t="s">
        <v>83</v>
      </c>
      <c r="C80" s="11">
        <v>406</v>
      </c>
      <c r="D80" s="11">
        <v>280</v>
      </c>
      <c r="E80" s="11">
        <v>166</v>
      </c>
      <c r="F80" s="11">
        <v>266</v>
      </c>
      <c r="G80" s="11">
        <v>238</v>
      </c>
      <c r="H80" s="11">
        <v>259</v>
      </c>
      <c r="I80" s="11">
        <v>351</v>
      </c>
      <c r="J80" s="11">
        <f>J178*J$7</f>
        <v>360.08690000000001</v>
      </c>
      <c r="K80" s="11">
        <f t="shared" ref="K80:M80" si="28">K178*K$7</f>
        <v>374.71478500000006</v>
      </c>
      <c r="L80" s="11">
        <f t="shared" si="28"/>
        <v>390.51028191000006</v>
      </c>
      <c r="M80" s="11">
        <f t="shared" si="28"/>
        <v>407.05396499950001</v>
      </c>
      <c r="N80" s="11">
        <f t="shared" ref="N80" si="29">N178*N$7</f>
        <v>424.38567764055909</v>
      </c>
    </row>
    <row r="81" spans="2:14" x14ac:dyDescent="0.35">
      <c r="B81" s="10" t="s">
        <v>84</v>
      </c>
      <c r="C81" s="11">
        <v>11164</v>
      </c>
      <c r="D81" s="11">
        <v>11632</v>
      </c>
      <c r="E81" s="11">
        <v>12127</v>
      </c>
      <c r="F81" s="11">
        <v>11985</v>
      </c>
      <c r="G81" s="11">
        <v>13952</v>
      </c>
      <c r="H81" s="11">
        <v>16901</v>
      </c>
      <c r="I81" s="11">
        <v>17669</v>
      </c>
      <c r="J81" s="11">
        <f>J179*J$7</f>
        <v>18724.518800000002</v>
      </c>
      <c r="K81" s="11">
        <f t="shared" ref="K81:M81" si="30">K179*K$7</f>
        <v>19485.168820000003</v>
      </c>
      <c r="L81" s="11">
        <f t="shared" si="30"/>
        <v>20306.534659320005</v>
      </c>
      <c r="M81" s="11">
        <f t="shared" si="30"/>
        <v>21166.806179974003</v>
      </c>
      <c r="N81" s="11">
        <f t="shared" ref="N81" si="31">N179*N$7</f>
        <v>22068.055237309072</v>
      </c>
    </row>
    <row r="82" spans="2:14" x14ac:dyDescent="0.35">
      <c r="B82" s="8" t="s">
        <v>85</v>
      </c>
      <c r="C82" s="9">
        <v>26276</v>
      </c>
      <c r="D82" s="9">
        <v>28621</v>
      </c>
      <c r="E82" s="9">
        <v>30228</v>
      </c>
      <c r="F82" s="9">
        <v>32039</v>
      </c>
      <c r="G82" s="9">
        <v>35922</v>
      </c>
      <c r="H82" s="9">
        <v>41697</v>
      </c>
      <c r="I82" s="9">
        <v>45772</v>
      </c>
      <c r="J82" s="9">
        <f>J70+J73+J76+J77</f>
        <v>53897.26186801416</v>
      </c>
      <c r="K82" s="9">
        <f t="shared" ref="K82:M82" ca="1" si="32">K70+K73+K76+K77</f>
        <v>59778.632930137588</v>
      </c>
      <c r="L82" s="9">
        <f t="shared" ca="1" si="32"/>
        <v>66083.955665521687</v>
      </c>
      <c r="M82" s="9">
        <f t="shared" ca="1" si="32"/>
        <v>73644.71282934802</v>
      </c>
      <c r="N82" s="9">
        <f t="shared" ref="N82" ca="1" si="33">N70+N73+N76+N77</f>
        <v>81344.242820450338</v>
      </c>
    </row>
    <row r="83" spans="2:14" x14ac:dyDescent="0.35">
      <c r="B83" s="10" t="s">
        <v>86</v>
      </c>
      <c r="C83" s="11">
        <v>4421</v>
      </c>
      <c r="D83" s="11">
        <v>5359</v>
      </c>
      <c r="E83" s="11">
        <v>10189</v>
      </c>
      <c r="F83" s="11">
        <v>9760</v>
      </c>
      <c r="G83" s="11">
        <v>10303</v>
      </c>
      <c r="H83" s="11">
        <v>10805</v>
      </c>
      <c r="I83" s="11">
        <v>13012</v>
      </c>
      <c r="J83" s="11">
        <f>J249</f>
        <v>12808.042301985839</v>
      </c>
      <c r="K83" s="11">
        <f t="shared" ref="K83:M83" ca="1" si="34">K249</f>
        <v>12717.773020192013</v>
      </c>
      <c r="L83" s="11">
        <f t="shared" ca="1" si="34"/>
        <v>12738.366339939319</v>
      </c>
      <c r="M83" s="11">
        <f t="shared" ca="1" si="34"/>
        <v>12856.00410874782</v>
      </c>
      <c r="N83" s="11">
        <f t="shared" ref="N83" ca="1" si="35">N249</f>
        <v>13325.951248271675</v>
      </c>
    </row>
    <row r="84" spans="2:14" x14ac:dyDescent="0.35">
      <c r="B84" s="10" t="s">
        <v>87</v>
      </c>
      <c r="C84" s="11">
        <v>13416</v>
      </c>
      <c r="D84" s="11">
        <v>14874</v>
      </c>
      <c r="E84" s="11">
        <v>20997</v>
      </c>
      <c r="F84" s="11">
        <v>21731</v>
      </c>
      <c r="G84" s="11">
        <v>23933</v>
      </c>
      <c r="H84" s="11">
        <v>25297</v>
      </c>
      <c r="I84" s="11">
        <v>28504</v>
      </c>
      <c r="J84" s="11">
        <f>J247</f>
        <v>31744.7821</v>
      </c>
      <c r="K84" s="11">
        <f t="shared" ref="K84:M84" si="36">K247</f>
        <v>35117.215165000001</v>
      </c>
      <c r="L84" s="11">
        <f t="shared" si="36"/>
        <v>38631.807702190003</v>
      </c>
      <c r="M84" s="11">
        <f t="shared" si="36"/>
        <v>42295.293387185506</v>
      </c>
      <c r="N84" s="11">
        <f t="shared" ref="N84" si="37">N247</f>
        <v>46114.764485950538</v>
      </c>
    </row>
    <row r="85" spans="2:14" x14ac:dyDescent="0.35">
      <c r="B85" s="10" t="s">
        <v>88</v>
      </c>
      <c r="C85" s="11">
        <v>8995</v>
      </c>
      <c r="D85" s="11">
        <v>9515</v>
      </c>
      <c r="E85" s="11">
        <v>10808</v>
      </c>
      <c r="F85" s="11">
        <v>11971</v>
      </c>
      <c r="G85" s="11">
        <v>13630</v>
      </c>
      <c r="H85" s="11">
        <v>14492</v>
      </c>
      <c r="I85" s="11">
        <v>15486</v>
      </c>
      <c r="J85" s="11">
        <f>J248</f>
        <v>18936.739798014161</v>
      </c>
      <c r="K85" s="11">
        <f t="shared" ref="K85:M85" ca="1" si="38">K248</f>
        <v>22399.442144807988</v>
      </c>
      <c r="L85" s="11">
        <f t="shared" ca="1" si="38"/>
        <v>25893.441362250684</v>
      </c>
      <c r="M85" s="11">
        <f t="shared" ca="1" si="38"/>
        <v>29439.289278437685</v>
      </c>
      <c r="N85" s="11">
        <f t="shared" ref="N85" ca="1" si="39">N248</f>
        <v>32788.813237678864</v>
      </c>
    </row>
    <row r="86" spans="2:14" x14ac:dyDescent="0.35">
      <c r="B86" s="10" t="s">
        <v>89</v>
      </c>
      <c r="C86" s="11">
        <v>1102</v>
      </c>
      <c r="D86" s="11">
        <v>1332</v>
      </c>
      <c r="E86" s="11">
        <v>1525</v>
      </c>
      <c r="F86" s="11">
        <v>2237</v>
      </c>
      <c r="G86" s="11">
        <v>2449</v>
      </c>
      <c r="H86" s="11">
        <v>2587</v>
      </c>
      <c r="I86" s="11">
        <v>2644</v>
      </c>
      <c r="J86" s="11">
        <f>SUM(J87:J88)</f>
        <v>2880.6952000000001</v>
      </c>
      <c r="K86" s="11">
        <f t="shared" ref="K86:M86" si="40">SUM(K87:K88)</f>
        <v>3185.0756725000001</v>
      </c>
      <c r="L86" s="11">
        <f t="shared" si="40"/>
        <v>3319.3373962350006</v>
      </c>
      <c r="M86" s="11">
        <f t="shared" si="40"/>
        <v>3459.95870249575</v>
      </c>
      <c r="N86" s="11">
        <f>SUM(N87:N88)</f>
        <v>3607.2782599447519</v>
      </c>
    </row>
    <row r="87" spans="2:14" x14ac:dyDescent="0.35">
      <c r="B87" s="10" t="s">
        <v>90</v>
      </c>
      <c r="C87" s="11">
        <v>272</v>
      </c>
      <c r="D87" s="11">
        <v>273</v>
      </c>
      <c r="E87" s="11">
        <v>365</v>
      </c>
      <c r="F87" s="11">
        <v>1203</v>
      </c>
      <c r="G87" s="11">
        <v>1288</v>
      </c>
      <c r="H87" s="11">
        <v>1342</v>
      </c>
      <c r="I87" s="11">
        <v>1371</v>
      </c>
      <c r="J87" s="11">
        <f>J185*J$7</f>
        <v>1440.3476000000001</v>
      </c>
      <c r="K87" s="11">
        <f t="shared" ref="K87:M87" si="41">K185*K$7</f>
        <v>1686.2165325000001</v>
      </c>
      <c r="L87" s="11">
        <f t="shared" si="41"/>
        <v>1757.2962685950001</v>
      </c>
      <c r="M87" s="11">
        <f t="shared" si="41"/>
        <v>1831.74284249775</v>
      </c>
      <c r="N87" s="11">
        <f t="shared" ref="N87" si="42">N185*N$7</f>
        <v>1909.7355493825157</v>
      </c>
    </row>
    <row r="88" spans="2:14" x14ac:dyDescent="0.35">
      <c r="B88" s="10" t="s">
        <v>91</v>
      </c>
      <c r="C88" s="11">
        <v>830</v>
      </c>
      <c r="D88" s="11">
        <v>1059</v>
      </c>
      <c r="E88" s="11">
        <v>1160</v>
      </c>
      <c r="F88" s="11">
        <v>1034</v>
      </c>
      <c r="G88" s="11">
        <v>1161</v>
      </c>
      <c r="H88" s="11">
        <v>1245</v>
      </c>
      <c r="I88" s="11">
        <v>1273</v>
      </c>
      <c r="J88" s="11">
        <f>J186*J$7</f>
        <v>1440.3476000000001</v>
      </c>
      <c r="K88" s="11">
        <f t="shared" ref="K88:M88" si="43">K186*K$7</f>
        <v>1498.8591400000003</v>
      </c>
      <c r="L88" s="11">
        <f t="shared" si="43"/>
        <v>1562.0411276400002</v>
      </c>
      <c r="M88" s="11">
        <f t="shared" si="43"/>
        <v>1628.215859998</v>
      </c>
      <c r="N88" s="11">
        <f>N186*N$7</f>
        <v>1697.5427105622364</v>
      </c>
    </row>
    <row r="89" spans="2:14" x14ac:dyDescent="0.35">
      <c r="B89" s="10" t="s">
        <v>92</v>
      </c>
      <c r="C89" s="11">
        <v>38004</v>
      </c>
      <c r="D89" s="11">
        <v>40045</v>
      </c>
      <c r="E89" s="11">
        <v>49217</v>
      </c>
      <c r="F89" s="11">
        <v>47129</v>
      </c>
      <c r="G89" s="11">
        <v>52142</v>
      </c>
      <c r="H89" s="11">
        <v>56902</v>
      </c>
      <c r="I89" s="11">
        <v>57130</v>
      </c>
      <c r="J89" s="11">
        <f>SUM(J91:J96)</f>
        <v>57130</v>
      </c>
      <c r="K89" s="11">
        <f t="shared" ref="K89:M89" si="44">SUM(K91:K96)</f>
        <v>57130</v>
      </c>
      <c r="L89" s="11">
        <f t="shared" si="44"/>
        <v>57130</v>
      </c>
      <c r="M89" s="11">
        <f t="shared" si="44"/>
        <v>57130</v>
      </c>
      <c r="N89" s="11">
        <f t="shared" ref="N89" si="45">SUM(N91:N96)</f>
        <v>57130</v>
      </c>
    </row>
    <row r="90" spans="2:14" x14ac:dyDescent="0.35">
      <c r="B90" s="10" t="s">
        <v>93</v>
      </c>
      <c r="C90" s="11">
        <v>35556</v>
      </c>
      <c r="D90" s="11">
        <v>37542</v>
      </c>
      <c r="E90" s="11">
        <v>45926</v>
      </c>
      <c r="F90" s="11">
        <v>44350</v>
      </c>
      <c r="G90" s="11">
        <v>49849</v>
      </c>
      <c r="H90" s="11">
        <v>54628</v>
      </c>
      <c r="I90" s="11">
        <v>54616</v>
      </c>
      <c r="J90" s="11">
        <f>I90</f>
        <v>54616</v>
      </c>
      <c r="K90" s="11">
        <f t="shared" ref="K90:N90" si="46">J90</f>
        <v>54616</v>
      </c>
      <c r="L90" s="11">
        <f t="shared" si="46"/>
        <v>54616</v>
      </c>
      <c r="M90" s="11">
        <f t="shared" si="46"/>
        <v>54616</v>
      </c>
      <c r="N90" s="11">
        <f t="shared" si="46"/>
        <v>54616</v>
      </c>
    </row>
    <row r="91" spans="2:14" x14ac:dyDescent="0.35">
      <c r="B91" s="12" t="s">
        <v>94</v>
      </c>
      <c r="C91" s="13">
        <v>8600</v>
      </c>
      <c r="D91" s="13">
        <v>9792</v>
      </c>
      <c r="E91" s="13">
        <v>11647</v>
      </c>
      <c r="F91" s="13">
        <v>11619</v>
      </c>
      <c r="G91" s="13">
        <v>16099</v>
      </c>
      <c r="H91" s="13">
        <v>17360</v>
      </c>
      <c r="I91" s="13">
        <v>17578</v>
      </c>
      <c r="J91" s="11">
        <f t="shared" ref="J91:N96" si="47">I91</f>
        <v>17578</v>
      </c>
      <c r="K91" s="11">
        <f t="shared" si="47"/>
        <v>17578</v>
      </c>
      <c r="L91" s="11">
        <f t="shared" si="47"/>
        <v>17578</v>
      </c>
      <c r="M91" s="11">
        <f t="shared" si="47"/>
        <v>17578</v>
      </c>
      <c r="N91" s="11">
        <f t="shared" si="47"/>
        <v>17578</v>
      </c>
    </row>
    <row r="92" spans="2:14" x14ac:dyDescent="0.35">
      <c r="B92" s="12" t="s">
        <v>95</v>
      </c>
      <c r="C92" s="13">
        <v>26956</v>
      </c>
      <c r="D92" s="13">
        <v>27750</v>
      </c>
      <c r="E92" s="13">
        <v>34279</v>
      </c>
      <c r="F92" s="13">
        <v>32731</v>
      </c>
      <c r="G92" s="13">
        <v>33750</v>
      </c>
      <c r="H92" s="13">
        <v>37268</v>
      </c>
      <c r="I92" s="13">
        <v>37038</v>
      </c>
      <c r="J92" s="11">
        <f t="shared" si="47"/>
        <v>37038</v>
      </c>
      <c r="K92" s="11">
        <f t="shared" si="47"/>
        <v>37038</v>
      </c>
      <c r="L92" s="11">
        <f t="shared" si="47"/>
        <v>37038</v>
      </c>
      <c r="M92" s="11">
        <f t="shared" si="47"/>
        <v>37038</v>
      </c>
      <c r="N92" s="11">
        <f t="shared" si="47"/>
        <v>37038</v>
      </c>
    </row>
    <row r="93" spans="2:14" x14ac:dyDescent="0.35">
      <c r="B93" s="10" t="s">
        <v>96</v>
      </c>
      <c r="C93" s="11">
        <v>255</v>
      </c>
      <c r="D93" s="11">
        <v>317</v>
      </c>
      <c r="E93" s="11">
        <v>370</v>
      </c>
      <c r="F93" s="11">
        <v>493</v>
      </c>
      <c r="G93" s="11">
        <v>767</v>
      </c>
      <c r="H93" s="11">
        <v>883</v>
      </c>
      <c r="I93" s="11">
        <v>1122</v>
      </c>
      <c r="J93" s="11">
        <f t="shared" si="47"/>
        <v>1122</v>
      </c>
      <c r="K93" s="11">
        <f t="shared" si="47"/>
        <v>1122</v>
      </c>
      <c r="L93" s="11">
        <f t="shared" si="47"/>
        <v>1122</v>
      </c>
      <c r="M93" s="11">
        <f t="shared" si="47"/>
        <v>1122</v>
      </c>
      <c r="N93" s="11">
        <f t="shared" si="47"/>
        <v>1122</v>
      </c>
    </row>
    <row r="94" spans="2:14" x14ac:dyDescent="0.35">
      <c r="B94" s="10" t="s">
        <v>81</v>
      </c>
      <c r="C94" s="11">
        <v>621</v>
      </c>
      <c r="D94" s="11">
        <v>511</v>
      </c>
      <c r="E94" s="11">
        <v>1051</v>
      </c>
      <c r="F94" s="11">
        <v>1250</v>
      </c>
      <c r="G94" s="11">
        <v>575</v>
      </c>
      <c r="H94" s="11">
        <v>376</v>
      </c>
      <c r="I94" s="11">
        <v>125</v>
      </c>
      <c r="J94" s="11">
        <f t="shared" si="47"/>
        <v>125</v>
      </c>
      <c r="K94" s="11">
        <f t="shared" si="47"/>
        <v>125</v>
      </c>
      <c r="L94" s="11">
        <f t="shared" si="47"/>
        <v>125</v>
      </c>
      <c r="M94" s="11">
        <f t="shared" si="47"/>
        <v>125</v>
      </c>
      <c r="N94" s="11">
        <f t="shared" si="47"/>
        <v>125</v>
      </c>
    </row>
    <row r="95" spans="2:14" x14ac:dyDescent="0.35">
      <c r="B95" s="10" t="s">
        <v>97</v>
      </c>
      <c r="C95" s="11">
        <v>1054</v>
      </c>
      <c r="D95" s="11">
        <v>1674</v>
      </c>
      <c r="E95" s="11">
        <v>1870</v>
      </c>
      <c r="F95" s="11">
        <v>1035</v>
      </c>
      <c r="G95" s="11">
        <v>950</v>
      </c>
      <c r="H95" s="11">
        <v>1014</v>
      </c>
      <c r="I95" s="11">
        <v>1267</v>
      </c>
      <c r="J95" s="11">
        <f t="shared" si="47"/>
        <v>1267</v>
      </c>
      <c r="K95" s="11">
        <f t="shared" si="47"/>
        <v>1267</v>
      </c>
      <c r="L95" s="11">
        <f t="shared" si="47"/>
        <v>1267</v>
      </c>
      <c r="M95" s="11">
        <f t="shared" si="47"/>
        <v>1267</v>
      </c>
      <c r="N95" s="11">
        <f t="shared" si="47"/>
        <v>1267</v>
      </c>
    </row>
    <row r="96" spans="2:14" x14ac:dyDescent="0.35">
      <c r="B96" s="10" t="s">
        <v>98</v>
      </c>
      <c r="C96" s="11">
        <v>518</v>
      </c>
      <c r="D96" s="11">
        <v>1</v>
      </c>
      <c r="E96" s="11">
        <v>0</v>
      </c>
      <c r="F96" s="11">
        <v>1</v>
      </c>
      <c r="G96" s="11">
        <v>1</v>
      </c>
      <c r="H96" s="11">
        <v>1</v>
      </c>
      <c r="I96" s="11">
        <v>0</v>
      </c>
      <c r="J96" s="11">
        <f t="shared" si="47"/>
        <v>0</v>
      </c>
      <c r="K96" s="11">
        <f t="shared" si="47"/>
        <v>0</v>
      </c>
      <c r="L96" s="11">
        <f t="shared" si="47"/>
        <v>0</v>
      </c>
      <c r="M96" s="11">
        <f t="shared" si="47"/>
        <v>0</v>
      </c>
      <c r="N96" s="11">
        <f t="shared" si="47"/>
        <v>0</v>
      </c>
    </row>
    <row r="97" spans="2:14" x14ac:dyDescent="0.35">
      <c r="B97" s="8" t="s">
        <v>99</v>
      </c>
      <c r="C97" s="9">
        <v>43527</v>
      </c>
      <c r="D97" s="9">
        <v>46736</v>
      </c>
      <c r="E97" s="9">
        <v>60931</v>
      </c>
      <c r="F97" s="9">
        <v>59126</v>
      </c>
      <c r="G97" s="9">
        <v>64894</v>
      </c>
      <c r="H97" s="9">
        <v>70294</v>
      </c>
      <c r="I97" s="9">
        <v>72786</v>
      </c>
      <c r="J97" s="9">
        <f>SUM(J83,J86,J89)</f>
        <v>72818.737501985845</v>
      </c>
      <c r="K97" s="9">
        <f t="shared" ref="K97:M97" ca="1" si="48">SUM(K83,K86,K89)</f>
        <v>73032.848692692016</v>
      </c>
      <c r="L97" s="9">
        <f t="shared" ca="1" si="48"/>
        <v>73187.703736174328</v>
      </c>
      <c r="M97" s="9">
        <f t="shared" ca="1" si="48"/>
        <v>73445.962811243575</v>
      </c>
      <c r="N97" s="9">
        <f t="shared" ref="N97" ca="1" si="49">SUM(N83,N86,N89)</f>
        <v>74063.229508216435</v>
      </c>
    </row>
    <row r="98" spans="2:14" x14ac:dyDescent="0.35">
      <c r="B98" s="8" t="s">
        <v>72</v>
      </c>
      <c r="C98" s="9">
        <v>69803</v>
      </c>
      <c r="D98" s="9">
        <v>75357</v>
      </c>
      <c r="E98" s="9">
        <v>91159</v>
      </c>
      <c r="F98" s="9">
        <v>91165</v>
      </c>
      <c r="G98" s="9">
        <v>100816</v>
      </c>
      <c r="H98" s="9">
        <v>111991</v>
      </c>
      <c r="I98" s="9">
        <v>118558</v>
      </c>
      <c r="J98" s="9">
        <f>SUM(J97,J82)</f>
        <v>126715.99937000001</v>
      </c>
      <c r="K98" s="9">
        <f t="shared" ref="K98:M98" ca="1" si="50">SUM(K97,K82)</f>
        <v>132811.4816228296</v>
      </c>
      <c r="L98" s="9">
        <f t="shared" ca="1" si="50"/>
        <v>139271.659401696</v>
      </c>
      <c r="M98" s="9">
        <f t="shared" ca="1" si="50"/>
        <v>147090.67564059159</v>
      </c>
      <c r="N98" s="9">
        <f t="shared" ref="N98" ca="1" si="51">SUM(N97,N82)</f>
        <v>155407.47232866677</v>
      </c>
    </row>
    <row r="99" spans="2:14" x14ac:dyDescent="0.35">
      <c r="B99" s="8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2:14" x14ac:dyDescent="0.35">
      <c r="B100" s="8" t="s">
        <v>100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2:14" x14ac:dyDescent="0.35">
      <c r="B101" s="10" t="s">
        <v>101</v>
      </c>
      <c r="C101" s="11">
        <v>20275</v>
      </c>
      <c r="D101" s="11">
        <v>21384</v>
      </c>
      <c r="E101" s="11">
        <v>23645</v>
      </c>
      <c r="F101" s="11">
        <v>23765</v>
      </c>
      <c r="G101" s="11">
        <v>29123</v>
      </c>
      <c r="H101" s="11">
        <v>34010</v>
      </c>
      <c r="I101" s="11">
        <v>36597</v>
      </c>
      <c r="J101" s="11">
        <f>SUM(J102:J104)</f>
        <v>38061.185330000008</v>
      </c>
      <c r="K101" s="11">
        <f t="shared" ref="K101:M101" si="52">SUM(K102:K104)</f>
        <v>39607.352774500003</v>
      </c>
      <c r="L101" s="11">
        <f t="shared" si="52"/>
        <v>41276.936797887007</v>
      </c>
      <c r="M101" s="11">
        <f t="shared" si="52"/>
        <v>43025.604100447148</v>
      </c>
      <c r="N101" s="11">
        <f t="shared" ref="N101" si="53">SUM(N102:N104)</f>
        <v>44857.566126607097</v>
      </c>
    </row>
    <row r="102" spans="2:14" x14ac:dyDescent="0.35">
      <c r="B102" s="10" t="s">
        <v>102</v>
      </c>
      <c r="C102" s="11">
        <v>8198</v>
      </c>
      <c r="D102" s="11">
        <v>8240</v>
      </c>
      <c r="E102" s="11">
        <v>8514</v>
      </c>
      <c r="F102" s="11">
        <v>8876</v>
      </c>
      <c r="G102" s="11">
        <v>12027</v>
      </c>
      <c r="H102" s="11">
        <v>13088</v>
      </c>
      <c r="I102" s="11">
        <v>13572</v>
      </c>
      <c r="J102" s="11">
        <f>J200*J$7</f>
        <v>14403.476000000002</v>
      </c>
      <c r="K102" s="11">
        <f t="shared" ref="K102:M102" si="54">K200*K$7</f>
        <v>14988.591400000003</v>
      </c>
      <c r="L102" s="11">
        <f t="shared" si="54"/>
        <v>15620.411276400002</v>
      </c>
      <c r="M102" s="11">
        <f t="shared" si="54"/>
        <v>16282.158599980001</v>
      </c>
      <c r="N102" s="11">
        <f t="shared" ref="N102" si="55">N200*N$7</f>
        <v>16975.427105622362</v>
      </c>
    </row>
    <row r="103" spans="2:14" x14ac:dyDescent="0.35">
      <c r="B103" s="10" t="s">
        <v>103</v>
      </c>
      <c r="C103" s="11">
        <v>225</v>
      </c>
      <c r="D103" s="11">
        <v>282</v>
      </c>
      <c r="E103" s="11">
        <v>292</v>
      </c>
      <c r="F103" s="11">
        <v>221</v>
      </c>
      <c r="G103" s="11">
        <v>360</v>
      </c>
      <c r="H103" s="11">
        <v>607</v>
      </c>
      <c r="I103" s="11">
        <v>594</v>
      </c>
      <c r="J103" s="11">
        <f>J201*J$7</f>
        <v>612.14773000000014</v>
      </c>
      <c r="K103" s="11">
        <f t="shared" ref="K103:M103" si="56">K201*K$7</f>
        <v>637.01513450000016</v>
      </c>
      <c r="L103" s="11">
        <f t="shared" si="56"/>
        <v>663.86747924700012</v>
      </c>
      <c r="M103" s="11">
        <f t="shared" si="56"/>
        <v>691.99174049915007</v>
      </c>
      <c r="N103" s="11">
        <f t="shared" ref="N103" si="57">N201*N$7</f>
        <v>721.45565198895054</v>
      </c>
    </row>
    <row r="104" spans="2:14" x14ac:dyDescent="0.35">
      <c r="B104" s="10" t="s">
        <v>104</v>
      </c>
      <c r="C104" s="11">
        <v>11852</v>
      </c>
      <c r="D104" s="11">
        <v>12862</v>
      </c>
      <c r="E104" s="11">
        <v>14839</v>
      </c>
      <c r="F104" s="11">
        <v>14668</v>
      </c>
      <c r="G104" s="11">
        <v>16736</v>
      </c>
      <c r="H104" s="11">
        <v>20315</v>
      </c>
      <c r="I104" s="11">
        <v>22431</v>
      </c>
      <c r="J104" s="11">
        <f>J202*J$7</f>
        <v>23045.561600000001</v>
      </c>
      <c r="K104" s="11">
        <f t="shared" ref="K104:M104" si="58">K202*K$7</f>
        <v>23981.746240000004</v>
      </c>
      <c r="L104" s="11">
        <f t="shared" si="58"/>
        <v>24992.658042240004</v>
      </c>
      <c r="M104" s="11">
        <f t="shared" si="58"/>
        <v>26051.453759968001</v>
      </c>
      <c r="N104" s="11">
        <f t="shared" ref="N104" si="59">N202*N$7</f>
        <v>27160.683368995782</v>
      </c>
    </row>
    <row r="105" spans="2:14" x14ac:dyDescent="0.35">
      <c r="B105" s="10" t="s">
        <v>105</v>
      </c>
      <c r="C105" s="11">
        <v>4831</v>
      </c>
      <c r="D105" s="11">
        <v>4635</v>
      </c>
      <c r="E105" s="11">
        <v>4721</v>
      </c>
      <c r="F105" s="11">
        <v>4410</v>
      </c>
      <c r="G105" s="11">
        <v>6293</v>
      </c>
      <c r="H105" s="11">
        <v>6890</v>
      </c>
      <c r="I105" s="11">
        <v>5528</v>
      </c>
      <c r="J105" s="11">
        <f>SUM(J106:J109)</f>
        <v>5977.44254</v>
      </c>
      <c r="K105" s="11">
        <f t="shared" ref="K105:M105" si="60">SUM(K106:K109)</f>
        <v>6220.2654309999998</v>
      </c>
      <c r="L105" s="11">
        <f t="shared" si="60"/>
        <v>6482.4706797060007</v>
      </c>
      <c r="M105" s="11">
        <f t="shared" si="60"/>
        <v>6757.0958189917001</v>
      </c>
      <c r="N105" s="11">
        <f t="shared" ref="N105" si="61">SUM(N106:N109)</f>
        <v>7045.8022488332808</v>
      </c>
    </row>
    <row r="106" spans="2:14" x14ac:dyDescent="0.35">
      <c r="B106" s="10" t="s">
        <v>106</v>
      </c>
      <c r="C106" s="11">
        <v>2191</v>
      </c>
      <c r="D106" s="11">
        <v>2577</v>
      </c>
      <c r="E106" s="11">
        <v>1792</v>
      </c>
      <c r="F106" s="11">
        <v>1950</v>
      </c>
      <c r="G106" s="11">
        <v>2240</v>
      </c>
      <c r="H106" s="11">
        <v>4107</v>
      </c>
      <c r="I106" s="11">
        <v>3000</v>
      </c>
      <c r="J106" s="11">
        <f>J204*J$7</f>
        <v>3240.7820999999999</v>
      </c>
      <c r="K106" s="11">
        <f t="shared" ref="K106:M106" si="62">K204*K$7</f>
        <v>3372.4330650000002</v>
      </c>
      <c r="L106" s="11">
        <f t="shared" si="62"/>
        <v>3514.5925371900003</v>
      </c>
      <c r="M106" s="11">
        <f t="shared" si="62"/>
        <v>3663.4856849954999</v>
      </c>
      <c r="N106" s="11">
        <f t="shared" ref="N106" si="63">N204*N$7</f>
        <v>3819.4710987650315</v>
      </c>
    </row>
    <row r="107" spans="2:14" x14ac:dyDescent="0.35">
      <c r="B107" s="10" t="s">
        <v>107</v>
      </c>
      <c r="C107" s="11">
        <v>33</v>
      </c>
      <c r="D107" s="11">
        <v>43</v>
      </c>
      <c r="E107" s="11">
        <v>504</v>
      </c>
      <c r="F107" s="11">
        <v>500</v>
      </c>
      <c r="G107" s="11">
        <v>524</v>
      </c>
      <c r="H107" s="11">
        <v>522</v>
      </c>
      <c r="I107" s="11">
        <v>572</v>
      </c>
      <c r="J107" s="11">
        <f>J205*J$7</f>
        <v>576.13904000000002</v>
      </c>
      <c r="K107" s="11">
        <f t="shared" ref="K107:M107" si="64">K205*K$7</f>
        <v>599.54365600000006</v>
      </c>
      <c r="L107" s="11">
        <f t="shared" si="64"/>
        <v>624.81645105600012</v>
      </c>
      <c r="M107" s="11">
        <f t="shared" si="64"/>
        <v>651.28634399920008</v>
      </c>
      <c r="N107" s="11">
        <f t="shared" ref="N107" si="65">N205*N$7</f>
        <v>679.01708422489457</v>
      </c>
    </row>
    <row r="108" spans="2:14" x14ac:dyDescent="0.35">
      <c r="B108" s="12" t="s">
        <v>108</v>
      </c>
      <c r="C108" s="13">
        <v>33</v>
      </c>
      <c r="D108" s="13">
        <v>43</v>
      </c>
      <c r="E108" s="13" t="s">
        <v>24</v>
      </c>
      <c r="F108" s="13" t="s">
        <v>24</v>
      </c>
      <c r="G108" s="13" t="s">
        <v>24</v>
      </c>
      <c r="H108" s="13" t="s">
        <v>24</v>
      </c>
      <c r="I108" s="13" t="s">
        <v>24</v>
      </c>
      <c r="J108" s="13">
        <v>0</v>
      </c>
      <c r="K108" s="13">
        <v>0</v>
      </c>
      <c r="L108" s="13">
        <v>0</v>
      </c>
      <c r="M108" s="13">
        <v>0</v>
      </c>
      <c r="N108" s="13">
        <v>1</v>
      </c>
    </row>
    <row r="109" spans="2:14" x14ac:dyDescent="0.35">
      <c r="B109" s="10" t="s">
        <v>109</v>
      </c>
      <c r="C109" s="11">
        <v>2607</v>
      </c>
      <c r="D109" s="11">
        <v>2015</v>
      </c>
      <c r="E109" s="11">
        <v>2425</v>
      </c>
      <c r="F109" s="11">
        <v>1960</v>
      </c>
      <c r="G109" s="11">
        <v>3529</v>
      </c>
      <c r="H109" s="11">
        <v>2261</v>
      </c>
      <c r="I109" s="11">
        <v>1956</v>
      </c>
      <c r="J109" s="11">
        <f>J207*J$7</f>
        <v>2160.5214000000001</v>
      </c>
      <c r="K109" s="11">
        <f t="shared" ref="K109:M109" si="66">K207*K$7</f>
        <v>2248.2887100000003</v>
      </c>
      <c r="L109" s="11">
        <f t="shared" si="66"/>
        <v>2343.06169146</v>
      </c>
      <c r="M109" s="11">
        <f t="shared" si="66"/>
        <v>2442.3237899969999</v>
      </c>
      <c r="N109" s="11">
        <f t="shared" ref="N109" si="67">N207*N$7</f>
        <v>2546.3140658433545</v>
      </c>
    </row>
    <row r="110" spans="2:14" x14ac:dyDescent="0.35">
      <c r="B110" s="10" t="s">
        <v>110</v>
      </c>
      <c r="C110" s="11">
        <v>4923</v>
      </c>
      <c r="D110" s="11">
        <v>5029</v>
      </c>
      <c r="E110" s="11">
        <v>5141</v>
      </c>
      <c r="F110" s="11">
        <v>5293</v>
      </c>
      <c r="G110" s="11">
        <v>6850</v>
      </c>
      <c r="H110" s="11">
        <v>7366</v>
      </c>
      <c r="I110" s="11">
        <v>8218</v>
      </c>
      <c r="J110" s="11">
        <f>SUM(J111:J113)</f>
        <v>8281.9987000000001</v>
      </c>
      <c r="K110" s="11">
        <f t="shared" ref="K110:M110" si="68">SUM(K111:K113)</f>
        <v>8618.4400550000009</v>
      </c>
      <c r="L110" s="11">
        <f t="shared" si="68"/>
        <v>8981.7364839300008</v>
      </c>
      <c r="M110" s="11">
        <f t="shared" si="68"/>
        <v>9362.2411949885009</v>
      </c>
      <c r="N110" s="11">
        <f t="shared" ref="N110" si="69">SUM(N111:N113)</f>
        <v>9760.8705857328587</v>
      </c>
    </row>
    <row r="111" spans="2:14" x14ac:dyDescent="0.35">
      <c r="B111" s="10" t="s">
        <v>111</v>
      </c>
      <c r="C111" s="11">
        <v>0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f>J209*J$7</f>
        <v>0</v>
      </c>
      <c r="K111" s="11">
        <f t="shared" ref="K111:M111" si="70">K209*K$7</f>
        <v>0</v>
      </c>
      <c r="L111" s="11">
        <f t="shared" si="70"/>
        <v>0</v>
      </c>
      <c r="M111" s="11">
        <f t="shared" si="70"/>
        <v>0</v>
      </c>
      <c r="N111" s="11">
        <f t="shared" ref="N111" si="71">N209*N$7</f>
        <v>0</v>
      </c>
    </row>
    <row r="112" spans="2:14" x14ac:dyDescent="0.35">
      <c r="B112" s="10" t="s">
        <v>112</v>
      </c>
      <c r="C112" s="11">
        <v>114</v>
      </c>
      <c r="D112" s="11">
        <v>76</v>
      </c>
      <c r="E112" s="11">
        <v>399</v>
      </c>
      <c r="F112" s="11">
        <v>319</v>
      </c>
      <c r="G112" s="11">
        <v>513</v>
      </c>
      <c r="H112" s="11">
        <v>440</v>
      </c>
      <c r="I112" s="11">
        <v>476</v>
      </c>
      <c r="J112" s="11">
        <f>J210*J$7</f>
        <v>360.08690000000001</v>
      </c>
      <c r="K112" s="11">
        <f t="shared" ref="K112:M112" si="72">K210*K$7</f>
        <v>374.71478500000006</v>
      </c>
      <c r="L112" s="11">
        <f t="shared" si="72"/>
        <v>390.51028191000006</v>
      </c>
      <c r="M112" s="11">
        <f t="shared" si="72"/>
        <v>407.05396499950001</v>
      </c>
      <c r="N112" s="11">
        <f t="shared" ref="N112" si="73">N210*N$7</f>
        <v>424.38567764055909</v>
      </c>
    </row>
    <row r="113" spans="2:14" x14ac:dyDescent="0.35">
      <c r="B113" s="10" t="s">
        <v>113</v>
      </c>
      <c r="C113" s="11">
        <v>4809</v>
      </c>
      <c r="D113" s="11">
        <v>4953</v>
      </c>
      <c r="E113" s="11">
        <v>4742</v>
      </c>
      <c r="F113" s="11">
        <v>4974</v>
      </c>
      <c r="G113" s="11">
        <v>6337</v>
      </c>
      <c r="H113" s="11">
        <v>6926</v>
      </c>
      <c r="I113" s="11">
        <v>7742</v>
      </c>
      <c r="J113" s="11">
        <f>J211*J$7</f>
        <v>7921.9118000000008</v>
      </c>
      <c r="K113" s="11">
        <f t="shared" ref="K113:M113" si="74">K211*K$7</f>
        <v>8243.7252700000008</v>
      </c>
      <c r="L113" s="11">
        <f t="shared" si="74"/>
        <v>8591.2262020200014</v>
      </c>
      <c r="M113" s="11">
        <f t="shared" si="74"/>
        <v>8955.1872299890001</v>
      </c>
      <c r="N113" s="11">
        <f t="shared" ref="N113" si="75">N211*N$7</f>
        <v>9336.4849080922995</v>
      </c>
    </row>
    <row r="114" spans="2:14" x14ac:dyDescent="0.35">
      <c r="B114" s="8" t="s">
        <v>114</v>
      </c>
      <c r="C114" s="9">
        <v>30029</v>
      </c>
      <c r="D114" s="9">
        <v>31048</v>
      </c>
      <c r="E114" s="9">
        <v>33507</v>
      </c>
      <c r="F114" s="9">
        <v>33468</v>
      </c>
      <c r="G114" s="9">
        <v>42266</v>
      </c>
      <c r="H114" s="9">
        <v>48266</v>
      </c>
      <c r="I114" s="9">
        <v>50343</v>
      </c>
      <c r="J114" s="9">
        <f>SUM(J110,J105,J101)</f>
        <v>52320.626570000008</v>
      </c>
      <c r="K114" s="9">
        <f>SUM(K110,K105,K101)</f>
        <v>54446.058260500002</v>
      </c>
      <c r="L114" s="9">
        <f t="shared" ref="L114:M114" si="76">SUM(L110,L105,L101)</f>
        <v>56741.143961523005</v>
      </c>
      <c r="M114" s="9">
        <f t="shared" si="76"/>
        <v>59144.941114427347</v>
      </c>
      <c r="N114" s="9">
        <f t="shared" ref="N114" si="77">SUM(N110,N105,N101)</f>
        <v>61664.238961173236</v>
      </c>
    </row>
    <row r="115" spans="2:14" x14ac:dyDescent="0.35">
      <c r="B115" s="10" t="s">
        <v>115</v>
      </c>
      <c r="C115" s="11">
        <v>16642</v>
      </c>
      <c r="D115" s="11">
        <v>19611</v>
      </c>
      <c r="E115" s="11">
        <v>27733</v>
      </c>
      <c r="F115" s="11">
        <v>28091</v>
      </c>
      <c r="G115" s="11">
        <v>26543</v>
      </c>
      <c r="H115" s="11">
        <v>25210</v>
      </c>
      <c r="I115" s="11">
        <v>27508</v>
      </c>
      <c r="J115" s="11">
        <f>SUM(J116,J117)</f>
        <v>30977.917119999998</v>
      </c>
      <c r="K115" s="11">
        <f t="shared" ref="K115:M115" si="78">SUM(K116,K117)</f>
        <v>31583.061407999998</v>
      </c>
      <c r="L115" s="11">
        <f t="shared" si="78"/>
        <v>32080.587219468005</v>
      </c>
      <c r="M115" s="11">
        <f t="shared" si="78"/>
        <v>33537.506595894607</v>
      </c>
      <c r="N115" s="11">
        <f>SUM(N116,N117)</f>
        <v>35069.832860294657</v>
      </c>
    </row>
    <row r="116" spans="2:14" x14ac:dyDescent="0.35">
      <c r="B116" s="10" t="s">
        <v>116</v>
      </c>
      <c r="C116" s="11">
        <v>16545</v>
      </c>
      <c r="D116" s="11">
        <v>19488</v>
      </c>
      <c r="E116" s="11">
        <v>26375</v>
      </c>
      <c r="F116" s="11">
        <v>26684</v>
      </c>
      <c r="G116" s="11">
        <v>24969</v>
      </c>
      <c r="H116" s="11">
        <v>23630</v>
      </c>
      <c r="I116" s="11">
        <v>25833</v>
      </c>
      <c r="J116" s="11">
        <f>J158</f>
        <v>29249.5</v>
      </c>
      <c r="K116" s="11">
        <f t="shared" ref="K116:M116" si="79">K158</f>
        <v>29784.430439999996</v>
      </c>
      <c r="L116" s="11">
        <f t="shared" si="79"/>
        <v>30206.137866300003</v>
      </c>
      <c r="M116" s="11">
        <f t="shared" si="79"/>
        <v>31583.647563897004</v>
      </c>
      <c r="N116" s="11">
        <f>N158</f>
        <v>33032.781607619974</v>
      </c>
    </row>
    <row r="117" spans="2:14" x14ac:dyDescent="0.35">
      <c r="B117" s="10" t="s">
        <v>117</v>
      </c>
      <c r="C117" s="11">
        <v>97</v>
      </c>
      <c r="D117" s="11">
        <v>123</v>
      </c>
      <c r="E117" s="11">
        <v>1358</v>
      </c>
      <c r="F117" s="11">
        <v>1407</v>
      </c>
      <c r="G117" s="11">
        <v>1574</v>
      </c>
      <c r="H117" s="11">
        <v>1580</v>
      </c>
      <c r="I117" s="11">
        <v>1675</v>
      </c>
      <c r="J117" s="11">
        <f>J215*J$7</f>
        <v>1728.4171200000001</v>
      </c>
      <c r="K117" s="11">
        <f t="shared" ref="K117:M117" si="80">K215*K$7</f>
        <v>1798.6309680000002</v>
      </c>
      <c r="L117" s="11">
        <f t="shared" si="80"/>
        <v>1874.4493531680002</v>
      </c>
      <c r="M117" s="11">
        <f t="shared" si="80"/>
        <v>1953.8590319976001</v>
      </c>
      <c r="N117" s="11">
        <f t="shared" ref="N117" si="81">N215*N$7</f>
        <v>2037.0512526746836</v>
      </c>
    </row>
    <row r="118" spans="2:14" x14ac:dyDescent="0.35">
      <c r="B118" s="12" t="s">
        <v>118</v>
      </c>
      <c r="C118" s="13">
        <v>97</v>
      </c>
      <c r="D118" s="13">
        <v>123</v>
      </c>
      <c r="E118" s="13" t="s">
        <v>24</v>
      </c>
      <c r="F118" s="13" t="s">
        <v>24</v>
      </c>
      <c r="G118" s="13" t="s">
        <v>24</v>
      </c>
      <c r="H118" s="13" t="s">
        <v>24</v>
      </c>
      <c r="I118" s="13" t="s">
        <v>24</v>
      </c>
      <c r="J118" s="13">
        <v>0</v>
      </c>
      <c r="K118" s="13">
        <v>0</v>
      </c>
      <c r="L118" s="13">
        <v>0</v>
      </c>
      <c r="M118" s="13">
        <v>0</v>
      </c>
      <c r="N118" s="13">
        <v>1</v>
      </c>
    </row>
    <row r="119" spans="2:14" x14ac:dyDescent="0.35">
      <c r="B119" s="10" t="s">
        <v>119</v>
      </c>
      <c r="C119" s="11">
        <v>4749</v>
      </c>
      <c r="D119" s="11">
        <v>4880</v>
      </c>
      <c r="E119" s="11">
        <v>6877</v>
      </c>
      <c r="F119" s="11">
        <v>6433</v>
      </c>
      <c r="G119" s="11">
        <v>7235</v>
      </c>
      <c r="H119" s="11">
        <v>9106</v>
      </c>
      <c r="I119" s="11">
        <v>8666</v>
      </c>
      <c r="J119" s="11">
        <f>SUM(J120:J125)</f>
        <v>8642.0856000000003</v>
      </c>
      <c r="K119" s="11">
        <f t="shared" ref="K119:M119" si="82">SUM(K120:K125)</f>
        <v>8993.1548400000029</v>
      </c>
      <c r="L119" s="11">
        <f t="shared" si="82"/>
        <v>9372.2467658400001</v>
      </c>
      <c r="M119" s="11">
        <f t="shared" si="82"/>
        <v>9769.2951599879998</v>
      </c>
      <c r="N119" s="11">
        <f t="shared" ref="N119" si="83">SUM(N120:N125)</f>
        <v>10187.25626337342</v>
      </c>
    </row>
    <row r="120" spans="2:14" x14ac:dyDescent="0.35">
      <c r="B120" s="10" t="s">
        <v>120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1</v>
      </c>
    </row>
    <row r="121" spans="2:14" x14ac:dyDescent="0.35">
      <c r="B121" s="10" t="s">
        <v>121</v>
      </c>
      <c r="C121" s="11">
        <v>1481</v>
      </c>
      <c r="D121" s="11">
        <v>1519</v>
      </c>
      <c r="E121" s="11">
        <v>1911</v>
      </c>
      <c r="F121" s="11">
        <v>1535</v>
      </c>
      <c r="G121" s="11">
        <v>1459</v>
      </c>
      <c r="H121" s="11">
        <v>1149</v>
      </c>
      <c r="I121" s="11">
        <v>1176</v>
      </c>
      <c r="J121" s="11">
        <f>J219*J$7</f>
        <v>1224.2954600000003</v>
      </c>
      <c r="K121" s="11">
        <f t="shared" ref="K121:M121" si="84">K219*K$7</f>
        <v>1274.0302690000003</v>
      </c>
      <c r="L121" s="11">
        <f t="shared" si="84"/>
        <v>1327.7349584940002</v>
      </c>
      <c r="M121" s="11">
        <f t="shared" si="84"/>
        <v>1383.9834809983001</v>
      </c>
      <c r="N121" s="11">
        <f t="shared" ref="N121" si="85">N219*N$7</f>
        <v>1442.9113039779011</v>
      </c>
    </row>
    <row r="122" spans="2:14" x14ac:dyDescent="0.35">
      <c r="B122" s="10" t="s">
        <v>111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1</v>
      </c>
    </row>
    <row r="123" spans="2:14" x14ac:dyDescent="0.35">
      <c r="B123" s="10" t="s">
        <v>122</v>
      </c>
      <c r="C123" s="11">
        <v>1735</v>
      </c>
      <c r="D123" s="11">
        <v>1676</v>
      </c>
      <c r="E123" s="11">
        <v>2701</v>
      </c>
      <c r="F123" s="11">
        <v>2655</v>
      </c>
      <c r="G123" s="11">
        <v>3225</v>
      </c>
      <c r="H123" s="11">
        <v>4162</v>
      </c>
      <c r="I123" s="11">
        <v>4030</v>
      </c>
      <c r="J123" s="11">
        <f>J221*J$7</f>
        <v>4177.0080400000006</v>
      </c>
      <c r="K123" s="11">
        <f t="shared" ref="K123:M123" si="86">K221*K$7</f>
        <v>4346.691506000001</v>
      </c>
      <c r="L123" s="11">
        <f t="shared" si="86"/>
        <v>4529.9192701560005</v>
      </c>
      <c r="M123" s="11">
        <f t="shared" si="86"/>
        <v>4721.8259939942009</v>
      </c>
      <c r="N123" s="11">
        <f t="shared" ref="N123" si="87">N221*N$7</f>
        <v>4922.873860630486</v>
      </c>
    </row>
    <row r="124" spans="2:14" x14ac:dyDescent="0.35">
      <c r="B124" s="10" t="s">
        <v>112</v>
      </c>
      <c r="C124" s="11">
        <v>288</v>
      </c>
      <c r="D124" s="11">
        <v>206</v>
      </c>
      <c r="E124" s="11">
        <v>473</v>
      </c>
      <c r="F124" s="11">
        <v>434</v>
      </c>
      <c r="G124" s="11">
        <v>422</v>
      </c>
      <c r="H124" s="11">
        <v>1939</v>
      </c>
      <c r="I124" s="11">
        <v>1257</v>
      </c>
      <c r="J124" s="11">
        <f>J222*J$7</f>
        <v>1080.2607</v>
      </c>
      <c r="K124" s="11">
        <f t="shared" ref="K124:M124" si="88">K222*K$7</f>
        <v>1124.1443550000001</v>
      </c>
      <c r="L124" s="11">
        <f t="shared" si="88"/>
        <v>1171.53084573</v>
      </c>
      <c r="M124" s="11">
        <f t="shared" si="88"/>
        <v>1221.1618949985</v>
      </c>
      <c r="N124" s="11">
        <f t="shared" ref="N124" si="89">N222*N$7</f>
        <v>1273.1570329216772</v>
      </c>
    </row>
    <row r="125" spans="2:14" x14ac:dyDescent="0.35">
      <c r="B125" s="10" t="s">
        <v>123</v>
      </c>
      <c r="C125" s="11">
        <v>1245</v>
      </c>
      <c r="D125" s="11">
        <v>1479</v>
      </c>
      <c r="E125" s="11">
        <v>1792</v>
      </c>
      <c r="F125" s="11">
        <v>1809</v>
      </c>
      <c r="G125" s="11">
        <v>2129</v>
      </c>
      <c r="H125" s="11">
        <v>1856</v>
      </c>
      <c r="I125" s="11">
        <v>2203</v>
      </c>
      <c r="J125" s="11">
        <f>J223*J$7</f>
        <v>2160.5214000000001</v>
      </c>
      <c r="K125" s="11">
        <f t="shared" ref="K125:M125" si="90">K223*K$7</f>
        <v>2248.2887100000003</v>
      </c>
      <c r="L125" s="11">
        <f t="shared" si="90"/>
        <v>2343.06169146</v>
      </c>
      <c r="M125" s="11">
        <f t="shared" si="90"/>
        <v>2442.3237899969999</v>
      </c>
      <c r="N125" s="11">
        <f t="shared" ref="N125" si="91">N223*N$7</f>
        <v>2546.3140658433545</v>
      </c>
    </row>
    <row r="126" spans="2:14" x14ac:dyDescent="0.35">
      <c r="B126" s="8" t="s">
        <v>124</v>
      </c>
      <c r="C126" s="9">
        <v>21391</v>
      </c>
      <c r="D126" s="9">
        <v>24491</v>
      </c>
      <c r="E126" s="9">
        <v>34610</v>
      </c>
      <c r="F126" s="9">
        <v>34524</v>
      </c>
      <c r="G126" s="9">
        <v>33778</v>
      </c>
      <c r="H126" s="9">
        <v>34316</v>
      </c>
      <c r="I126" s="9">
        <v>36174</v>
      </c>
      <c r="J126" s="9">
        <f>SUM(J115,J119)</f>
        <v>39620.002719999997</v>
      </c>
      <c r="K126" s="9">
        <f t="shared" ref="K126:M126" si="92">SUM(K115,K119)</f>
        <v>40576.216247999997</v>
      </c>
      <c r="L126" s="9">
        <f t="shared" si="92"/>
        <v>41452.833985308003</v>
      </c>
      <c r="M126" s="9">
        <f t="shared" si="92"/>
        <v>43306.80175588261</v>
      </c>
      <c r="N126" s="9">
        <f t="shared" ref="N126" si="93">SUM(N115,N119)</f>
        <v>45257.089123668076</v>
      </c>
    </row>
    <row r="127" spans="2:14" x14ac:dyDescent="0.35">
      <c r="B127" s="8" t="s">
        <v>125</v>
      </c>
      <c r="C127" s="9">
        <v>51420</v>
      </c>
      <c r="D127" s="9">
        <v>55539</v>
      </c>
      <c r="E127" s="9">
        <v>68117</v>
      </c>
      <c r="F127" s="9">
        <v>67992</v>
      </c>
      <c r="G127" s="9">
        <v>76044</v>
      </c>
      <c r="H127" s="9">
        <v>82582</v>
      </c>
      <c r="I127" s="9">
        <v>86517</v>
      </c>
      <c r="J127" s="9">
        <f>SUM(J126,J114)</f>
        <v>91940.629290000012</v>
      </c>
      <c r="K127" s="9">
        <f t="shared" ref="K127:M127" si="94">SUM(K126,K114)</f>
        <v>95022.274508500006</v>
      </c>
      <c r="L127" s="9">
        <f t="shared" si="94"/>
        <v>98193.977946831001</v>
      </c>
      <c r="M127" s="9">
        <f t="shared" si="94"/>
        <v>102451.74287030996</v>
      </c>
      <c r="N127" s="9">
        <f t="shared" ref="N127" si="95">SUM(N126,N114)</f>
        <v>106921.32808484131</v>
      </c>
    </row>
    <row r="128" spans="2:14" x14ac:dyDescent="0.35">
      <c r="B128" s="10" t="s">
        <v>126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1</v>
      </c>
    </row>
    <row r="129" spans="2:14" x14ac:dyDescent="0.35">
      <c r="B129" s="10" t="s">
        <v>127</v>
      </c>
      <c r="C129" s="11">
        <v>11364</v>
      </c>
      <c r="D129" s="11">
        <v>11833</v>
      </c>
      <c r="E129" s="11">
        <v>12392</v>
      </c>
      <c r="F129" s="11">
        <v>12998</v>
      </c>
      <c r="G129" s="11">
        <v>13723</v>
      </c>
      <c r="H129" s="11">
        <v>14192</v>
      </c>
      <c r="I129" s="11">
        <v>14880</v>
      </c>
      <c r="J129" s="11"/>
      <c r="K129" s="11"/>
      <c r="L129" s="11"/>
      <c r="M129" s="11"/>
      <c r="N129" s="11"/>
    </row>
    <row r="130" spans="2:14" x14ac:dyDescent="0.35">
      <c r="B130" s="10" t="s">
        <v>128</v>
      </c>
      <c r="C130" s="11">
        <v>1478</v>
      </c>
      <c r="D130" s="11">
        <v>1494</v>
      </c>
      <c r="E130" s="11">
        <v>1513</v>
      </c>
      <c r="F130" s="11">
        <v>1471</v>
      </c>
      <c r="G130" s="11">
        <v>1481</v>
      </c>
      <c r="H130" s="11">
        <v>1473</v>
      </c>
      <c r="I130" s="11">
        <v>1473</v>
      </c>
      <c r="J130" s="11"/>
      <c r="K130" s="11"/>
      <c r="L130" s="11"/>
      <c r="M130" s="11"/>
      <c r="N130" s="11"/>
    </row>
    <row r="131" spans="2:14" x14ac:dyDescent="0.35">
      <c r="B131" s="10" t="s">
        <v>129</v>
      </c>
      <c r="C131" s="11">
        <v>9886</v>
      </c>
      <c r="D131" s="11">
        <v>10339</v>
      </c>
      <c r="E131" s="11">
        <v>10879</v>
      </c>
      <c r="F131" s="11">
        <v>11527</v>
      </c>
      <c r="G131" s="11">
        <v>12242</v>
      </c>
      <c r="H131" s="11">
        <v>12719</v>
      </c>
      <c r="I131" s="11">
        <v>13407</v>
      </c>
      <c r="J131" s="11"/>
      <c r="K131" s="11"/>
      <c r="L131" s="11"/>
      <c r="M131" s="11"/>
      <c r="N131" s="11"/>
    </row>
    <row r="132" spans="2:14" x14ac:dyDescent="0.35">
      <c r="B132" s="10" t="s">
        <v>130</v>
      </c>
      <c r="C132" s="11">
        <v>1751</v>
      </c>
      <c r="D132" s="11">
        <v>2323</v>
      </c>
      <c r="E132" s="11">
        <v>3083</v>
      </c>
      <c r="F132" s="11">
        <v>2111</v>
      </c>
      <c r="G132" s="11">
        <v>1973</v>
      </c>
      <c r="H132" s="11">
        <v>2088</v>
      </c>
      <c r="I132" s="11">
        <v>1419</v>
      </c>
      <c r="J132" s="11"/>
      <c r="K132" s="11"/>
      <c r="L132" s="11"/>
      <c r="M132" s="11"/>
      <c r="N132" s="11"/>
    </row>
    <row r="133" spans="2:14" x14ac:dyDescent="0.35">
      <c r="B133" s="10" t="s">
        <v>131</v>
      </c>
      <c r="C133" s="11">
        <v>2747</v>
      </c>
      <c r="D133" s="11">
        <v>2983</v>
      </c>
      <c r="E133" s="11">
        <v>3260</v>
      </c>
      <c r="F133" s="11">
        <v>1242</v>
      </c>
      <c r="G133" s="11">
        <v>2597</v>
      </c>
      <c r="H133" s="11">
        <v>4259</v>
      </c>
      <c r="I133" s="11">
        <v>4702</v>
      </c>
      <c r="J133" s="11"/>
      <c r="K133" s="11"/>
      <c r="L133" s="11"/>
      <c r="M133" s="11"/>
      <c r="N133" s="11"/>
    </row>
    <row r="134" spans="2:14" x14ac:dyDescent="0.35">
      <c r="B134" s="10" t="s">
        <v>132</v>
      </c>
      <c r="C134" s="11">
        <v>5451</v>
      </c>
      <c r="D134" s="11">
        <v>6692</v>
      </c>
      <c r="E134" s="11">
        <v>7869</v>
      </c>
      <c r="F134" s="11">
        <v>8882</v>
      </c>
      <c r="G134" s="11">
        <v>8536</v>
      </c>
      <c r="H134" s="11">
        <v>9576</v>
      </c>
      <c r="I134" s="11">
        <v>9950</v>
      </c>
      <c r="J134" s="11"/>
      <c r="K134" s="11"/>
      <c r="L134" s="11"/>
      <c r="M134" s="11"/>
      <c r="N134" s="11"/>
    </row>
    <row r="135" spans="2:14" x14ac:dyDescent="0.35">
      <c r="B135" s="8" t="s">
        <v>133</v>
      </c>
      <c r="C135" s="9">
        <v>17811</v>
      </c>
      <c r="D135" s="9">
        <v>19185</v>
      </c>
      <c r="E135" s="9">
        <v>20438</v>
      </c>
      <c r="F135" s="9">
        <v>21011</v>
      </c>
      <c r="G135" s="9">
        <v>22883</v>
      </c>
      <c r="H135" s="9">
        <v>25939</v>
      </c>
      <c r="I135" s="9">
        <v>28113</v>
      </c>
      <c r="J135" s="9"/>
      <c r="K135" s="9"/>
      <c r="L135" s="9"/>
      <c r="M135" s="9"/>
      <c r="N135" s="9"/>
    </row>
    <row r="136" spans="2:14" x14ac:dyDescent="0.35">
      <c r="B136" s="10" t="s">
        <v>134</v>
      </c>
      <c r="C136" s="11">
        <v>572</v>
      </c>
      <c r="D136" s="11">
        <v>633</v>
      </c>
      <c r="E136" s="11">
        <v>2604</v>
      </c>
      <c r="F136" s="11">
        <v>2162</v>
      </c>
      <c r="G136" s="11">
        <v>1889</v>
      </c>
      <c r="H136" s="11">
        <v>3470</v>
      </c>
      <c r="I136" s="11">
        <v>3928</v>
      </c>
      <c r="J136" s="11"/>
      <c r="K136" s="11"/>
      <c r="L136" s="11"/>
      <c r="M136" s="11"/>
      <c r="N136" s="11"/>
    </row>
    <row r="137" spans="2:14" x14ac:dyDescent="0.35">
      <c r="B137" s="8" t="s">
        <v>135</v>
      </c>
      <c r="C137" s="9">
        <v>18383</v>
      </c>
      <c r="D137" s="9">
        <v>19818</v>
      </c>
      <c r="E137" s="9">
        <v>23042</v>
      </c>
      <c r="F137" s="9">
        <v>23173</v>
      </c>
      <c r="G137" s="9">
        <v>24772</v>
      </c>
      <c r="H137" s="9">
        <v>29409</v>
      </c>
      <c r="I137" s="9">
        <v>32041</v>
      </c>
      <c r="J137" s="9">
        <f>J283</f>
        <v>34775.370080000001</v>
      </c>
      <c r="K137" s="9">
        <f t="shared" ref="K137:M137" si="96">K283</f>
        <v>37789.207114329598</v>
      </c>
      <c r="L137" s="9">
        <f t="shared" si="96"/>
        <v>41077.681454864993</v>
      </c>
      <c r="M137" s="9">
        <f t="shared" si="96"/>
        <v>44638.93277028163</v>
      </c>
      <c r="N137" s="9">
        <f t="shared" ref="N137" si="97">N283</f>
        <v>48486.14424382546</v>
      </c>
    </row>
    <row r="138" spans="2:14" x14ac:dyDescent="0.35">
      <c r="B138" s="8" t="s">
        <v>136</v>
      </c>
      <c r="C138" s="9">
        <v>69803</v>
      </c>
      <c r="D138" s="9">
        <v>75357</v>
      </c>
      <c r="E138" s="9">
        <v>91159</v>
      </c>
      <c r="F138" s="9">
        <v>91165</v>
      </c>
      <c r="G138" s="9">
        <v>100816</v>
      </c>
      <c r="H138" s="9">
        <v>111991</v>
      </c>
      <c r="I138" s="9">
        <v>118558</v>
      </c>
      <c r="J138" s="9">
        <f>J137+J127</f>
        <v>126715.99937000001</v>
      </c>
      <c r="K138" s="9">
        <f t="shared" ref="K138:M138" si="98">K137+K127</f>
        <v>132811.4816228296</v>
      </c>
      <c r="L138" s="9">
        <f t="shared" si="98"/>
        <v>139271.659401696</v>
      </c>
      <c r="M138" s="9">
        <f t="shared" si="98"/>
        <v>147090.67564059159</v>
      </c>
      <c r="N138" s="9">
        <f t="shared" ref="N138" si="99">N137+N127</f>
        <v>155407.47232866677</v>
      </c>
    </row>
    <row r="139" spans="2:14" x14ac:dyDescent="0.35">
      <c r="B139" s="8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2:14" x14ac:dyDescent="0.35">
      <c r="B140" s="8" t="s">
        <v>51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2:14" x14ac:dyDescent="0.35">
      <c r="B141" s="10" t="s">
        <v>52</v>
      </c>
      <c r="C141" s="16" t="s">
        <v>53</v>
      </c>
      <c r="D141" s="16" t="s">
        <v>53</v>
      </c>
      <c r="E141" s="16" t="s">
        <v>53</v>
      </c>
      <c r="F141" s="16" t="s">
        <v>53</v>
      </c>
      <c r="G141" s="16" t="s">
        <v>53</v>
      </c>
      <c r="H141" s="16" t="s">
        <v>53</v>
      </c>
      <c r="I141" s="16" t="s">
        <v>53</v>
      </c>
      <c r="J141" s="16"/>
      <c r="K141" s="16"/>
      <c r="L141" s="16"/>
      <c r="M141" s="16"/>
      <c r="N141" s="16"/>
    </row>
    <row r="142" spans="2:14" x14ac:dyDescent="0.35">
      <c r="B142" s="10" t="s">
        <v>137</v>
      </c>
      <c r="C142" s="11">
        <v>554.89959999999996</v>
      </c>
      <c r="D142" s="11">
        <v>554.76639999999998</v>
      </c>
      <c r="E142" s="11">
        <v>554.74599999999998</v>
      </c>
      <c r="F142" s="11">
        <v>562.06169999999997</v>
      </c>
      <c r="G142" s="11">
        <v>567.5806</v>
      </c>
      <c r="H142" s="11">
        <v>563.59649999999999</v>
      </c>
      <c r="I142" s="11">
        <v>570.80989999999997</v>
      </c>
      <c r="J142" s="11"/>
      <c r="K142" s="11"/>
      <c r="L142" s="11"/>
      <c r="M142" s="11"/>
      <c r="N142" s="11"/>
    </row>
    <row r="143" spans="2:14" x14ac:dyDescent="0.35">
      <c r="B143" s="10" t="s">
        <v>138</v>
      </c>
      <c r="C143" s="11">
        <v>36.317399999999999</v>
      </c>
      <c r="D143" s="11">
        <v>42.749600000000001</v>
      </c>
      <c r="E143" s="11">
        <v>50.491700000000002</v>
      </c>
      <c r="F143" s="11">
        <v>26.4575</v>
      </c>
      <c r="G143" s="11">
        <v>24.7818</v>
      </c>
      <c r="H143" s="11">
        <v>25.790800000000001</v>
      </c>
      <c r="I143" s="11">
        <v>18.238700000000001</v>
      </c>
      <c r="J143" s="11"/>
      <c r="K143" s="11"/>
      <c r="L143" s="11"/>
      <c r="M143" s="11"/>
      <c r="N143" s="11"/>
    </row>
    <row r="144" spans="2:14" x14ac:dyDescent="0.35">
      <c r="B144" s="10" t="s">
        <v>139</v>
      </c>
      <c r="C144" s="11">
        <v>1481</v>
      </c>
      <c r="D144" s="11">
        <v>1519</v>
      </c>
      <c r="E144" s="11">
        <v>1911</v>
      </c>
      <c r="F144" s="11">
        <v>1535</v>
      </c>
      <c r="G144" s="11">
        <v>1459</v>
      </c>
      <c r="H144" s="11">
        <v>1149</v>
      </c>
      <c r="I144" s="11">
        <v>1176</v>
      </c>
      <c r="J144" s="11"/>
      <c r="K144" s="11"/>
      <c r="L144" s="11"/>
      <c r="M144" s="11"/>
      <c r="N144" s="11"/>
    </row>
    <row r="145" spans="1:14" x14ac:dyDescent="0.35">
      <c r="B145" s="10" t="s">
        <v>140</v>
      </c>
      <c r="C145" s="11">
        <v>1237</v>
      </c>
      <c r="D145" s="11">
        <v>1500</v>
      </c>
      <c r="E145" s="11" t="s">
        <v>24</v>
      </c>
      <c r="F145" s="11" t="s">
        <v>24</v>
      </c>
      <c r="G145" s="11" t="s">
        <v>24</v>
      </c>
      <c r="H145" s="11" t="s">
        <v>24</v>
      </c>
      <c r="I145" s="11" t="s">
        <v>24</v>
      </c>
      <c r="J145" s="11"/>
      <c r="K145" s="11"/>
      <c r="L145" s="11"/>
      <c r="M145" s="11"/>
      <c r="N145" s="11"/>
    </row>
    <row r="146" spans="1:14" x14ac:dyDescent="0.35">
      <c r="B146" s="10" t="s">
        <v>141</v>
      </c>
      <c r="C146" s="11">
        <v>130</v>
      </c>
      <c r="D146" s="11">
        <v>166</v>
      </c>
      <c r="E146" s="11" t="s">
        <v>24</v>
      </c>
      <c r="F146" s="11" t="s">
        <v>24</v>
      </c>
      <c r="G146" s="11" t="s">
        <v>24</v>
      </c>
      <c r="H146" s="11" t="s">
        <v>24</v>
      </c>
      <c r="I146" s="11" t="s">
        <v>24</v>
      </c>
      <c r="J146" s="11"/>
      <c r="K146" s="11"/>
      <c r="L146" s="11"/>
      <c r="M146" s="11"/>
      <c r="N146" s="11"/>
    </row>
    <row r="147" spans="1:14" x14ac:dyDescent="0.35">
      <c r="B147" s="10" t="s">
        <v>142</v>
      </c>
      <c r="C147" s="11" t="s">
        <v>24</v>
      </c>
      <c r="D147" s="11">
        <v>0</v>
      </c>
      <c r="E147" s="11">
        <v>0</v>
      </c>
      <c r="F147" s="11" t="s">
        <v>24</v>
      </c>
      <c r="G147" s="11" t="s">
        <v>24</v>
      </c>
      <c r="H147" s="11" t="s">
        <v>24</v>
      </c>
      <c r="I147" s="11" t="s">
        <v>24</v>
      </c>
      <c r="J147" s="11"/>
      <c r="K147" s="11"/>
      <c r="L147" s="11"/>
      <c r="M147" s="11"/>
      <c r="N147" s="11"/>
    </row>
    <row r="148" spans="1:14" x14ac:dyDescent="0.35">
      <c r="B148" s="10" t="s">
        <v>143</v>
      </c>
      <c r="C148" s="11">
        <v>0.95469999999999999</v>
      </c>
      <c r="D148" s="11">
        <v>0.46010000000000001</v>
      </c>
      <c r="E148" s="11">
        <v>0</v>
      </c>
      <c r="F148" s="11" t="s">
        <v>24</v>
      </c>
      <c r="G148" s="11">
        <v>0</v>
      </c>
      <c r="H148" s="11">
        <v>0</v>
      </c>
      <c r="I148" s="11">
        <v>0</v>
      </c>
      <c r="J148" s="11"/>
      <c r="K148" s="11"/>
      <c r="L148" s="11"/>
      <c r="M148" s="11"/>
      <c r="N148" s="11"/>
    </row>
    <row r="149" spans="1:14" x14ac:dyDescent="0.35">
      <c r="B149" s="10" t="s">
        <v>144</v>
      </c>
      <c r="C149" s="11">
        <v>14444</v>
      </c>
      <c r="D149" s="11">
        <v>16004</v>
      </c>
      <c r="E149" s="11">
        <v>23857</v>
      </c>
      <c r="F149" s="11">
        <v>20569</v>
      </c>
      <c r="G149" s="11">
        <v>21471</v>
      </c>
      <c r="H149" s="11">
        <v>18683</v>
      </c>
      <c r="I149" s="11">
        <v>16785</v>
      </c>
      <c r="J149" s="11"/>
      <c r="K149" s="11"/>
      <c r="L149" s="11"/>
      <c r="M149" s="11"/>
      <c r="N149" s="11"/>
    </row>
    <row r="150" spans="1:14" x14ac:dyDescent="0.35">
      <c r="B150" s="10" t="s">
        <v>145</v>
      </c>
      <c r="C150" s="17">
        <v>78.572599999999994</v>
      </c>
      <c r="D150" s="17">
        <v>80.754900000000006</v>
      </c>
      <c r="E150" s="17">
        <v>103.53700000000001</v>
      </c>
      <c r="F150" s="17">
        <v>88.762799999999999</v>
      </c>
      <c r="G150" s="17">
        <v>86.674499999999995</v>
      </c>
      <c r="H150" s="17">
        <v>63.528199999999998</v>
      </c>
      <c r="I150" s="17">
        <v>52.386000000000003</v>
      </c>
      <c r="J150" s="17"/>
      <c r="K150" s="17"/>
      <c r="L150" s="17"/>
      <c r="M150" s="17"/>
      <c r="N150" s="17"/>
    </row>
    <row r="151" spans="1:14" x14ac:dyDescent="0.35">
      <c r="B151" s="10" t="s">
        <v>146</v>
      </c>
      <c r="C151" s="17">
        <v>-51.814799999999998</v>
      </c>
      <c r="D151" s="17">
        <v>-48.544199999999996</v>
      </c>
      <c r="E151" s="17">
        <v>-56.348199999999999</v>
      </c>
      <c r="F151" s="17">
        <v>-49.853700000000003</v>
      </c>
      <c r="G151" s="17">
        <v>-52.908700000000003</v>
      </c>
      <c r="H151" s="17">
        <v>-50.013100000000001</v>
      </c>
      <c r="I151" s="17">
        <v>-41.448500000000003</v>
      </c>
      <c r="J151" s="17"/>
      <c r="K151" s="17"/>
      <c r="L151" s="17"/>
      <c r="M151" s="17"/>
      <c r="N151" s="17"/>
    </row>
    <row r="152" spans="1:14" x14ac:dyDescent="0.35">
      <c r="B152" s="10" t="s">
        <v>147</v>
      </c>
      <c r="C152" s="17">
        <v>0.875</v>
      </c>
      <c r="D152" s="17">
        <v>0.92179999999999995</v>
      </c>
      <c r="E152" s="17">
        <v>0.90210000000000001</v>
      </c>
      <c r="F152" s="17">
        <v>0.95730000000000004</v>
      </c>
      <c r="G152" s="17">
        <v>0.84989999999999999</v>
      </c>
      <c r="H152" s="17">
        <v>0.8639</v>
      </c>
      <c r="I152" s="17">
        <v>0.90920000000000001</v>
      </c>
      <c r="J152" s="17"/>
      <c r="K152" s="17"/>
      <c r="L152" s="17"/>
      <c r="M152" s="17"/>
      <c r="N152" s="17"/>
    </row>
    <row r="153" spans="1:14" x14ac:dyDescent="0.35">
      <c r="B153" s="18" t="s">
        <v>197</v>
      </c>
      <c r="C153" s="38"/>
      <c r="D153" s="38"/>
      <c r="E153" s="38"/>
      <c r="F153" s="38"/>
      <c r="G153" s="38"/>
      <c r="H153" s="38"/>
      <c r="I153" s="38"/>
      <c r="J153" s="40">
        <f>J138-J98</f>
        <v>0</v>
      </c>
      <c r="K153" s="40">
        <f t="shared" ref="K153:M153" ca="1" si="100">K138-K98</f>
        <v>0</v>
      </c>
      <c r="L153" s="40">
        <f t="shared" ca="1" si="100"/>
        <v>0</v>
      </c>
      <c r="M153" s="40">
        <f t="shared" ca="1" si="100"/>
        <v>0</v>
      </c>
      <c r="N153" s="40">
        <f t="shared" ref="N153" ca="1" si="101">N138-N98</f>
        <v>0</v>
      </c>
    </row>
    <row r="156" spans="1:14" x14ac:dyDescent="0.35">
      <c r="A156" t="s">
        <v>68</v>
      </c>
      <c r="B156" s="42" t="s">
        <v>194</v>
      </c>
      <c r="C156" s="5" t="s">
        <v>2</v>
      </c>
      <c r="D156" s="5" t="s">
        <v>3</v>
      </c>
      <c r="E156" s="5" t="s">
        <v>4</v>
      </c>
      <c r="F156" s="5" t="s">
        <v>5</v>
      </c>
      <c r="G156" s="5" t="s">
        <v>6</v>
      </c>
      <c r="H156" s="5" t="s">
        <v>7</v>
      </c>
      <c r="I156" s="5" t="s">
        <v>8</v>
      </c>
      <c r="J156" s="5" t="s">
        <v>9</v>
      </c>
      <c r="K156" s="5" t="s">
        <v>10</v>
      </c>
      <c r="L156" s="5" t="s">
        <v>66</v>
      </c>
      <c r="M156" s="5" t="s">
        <v>67</v>
      </c>
      <c r="N156" s="5" t="s">
        <v>254</v>
      </c>
    </row>
    <row r="157" spans="1:14" x14ac:dyDescent="0.35">
      <c r="B157" s="43" t="s">
        <v>165</v>
      </c>
      <c r="C157" s="11">
        <f>C16</f>
        <v>597</v>
      </c>
      <c r="D157" s="11">
        <f t="shared" ref="D157:I157" si="102">D16</f>
        <v>606</v>
      </c>
      <c r="E157" s="11">
        <f t="shared" si="102"/>
        <v>753</v>
      </c>
      <c r="F157" s="11">
        <f t="shared" si="102"/>
        <v>776</v>
      </c>
      <c r="G157" s="11">
        <f t="shared" si="102"/>
        <v>766</v>
      </c>
      <c r="H157" s="11">
        <f t="shared" si="102"/>
        <v>719</v>
      </c>
      <c r="I157" s="11">
        <f t="shared" si="102"/>
        <v>743</v>
      </c>
      <c r="J157" s="11">
        <f>J159*J158</f>
        <v>818.98599999999999</v>
      </c>
      <c r="K157" s="11">
        <f t="shared" ref="K157:M157" si="103">K159*K158</f>
        <v>833.96405231999995</v>
      </c>
      <c r="L157" s="11">
        <f t="shared" si="103"/>
        <v>845.77186025640015</v>
      </c>
      <c r="M157" s="11">
        <f t="shared" si="103"/>
        <v>884.34213178911614</v>
      </c>
      <c r="N157" s="11">
        <f t="shared" ref="N157" si="104">N159*N158</f>
        <v>924.9178850133593</v>
      </c>
    </row>
    <row r="158" spans="1:14" x14ac:dyDescent="0.35">
      <c r="B158" s="43" t="s">
        <v>166</v>
      </c>
      <c r="C158" s="17">
        <f>C115</f>
        <v>16642</v>
      </c>
      <c r="D158" s="17">
        <f t="shared" ref="D158:I158" si="105">D115</f>
        <v>19611</v>
      </c>
      <c r="E158" s="17">
        <f t="shared" si="105"/>
        <v>27733</v>
      </c>
      <c r="F158" s="17">
        <f t="shared" si="105"/>
        <v>28091</v>
      </c>
      <c r="G158" s="17">
        <f t="shared" si="105"/>
        <v>26543</v>
      </c>
      <c r="H158" s="17">
        <f t="shared" si="105"/>
        <v>25210</v>
      </c>
      <c r="I158" s="17">
        <f t="shared" si="105"/>
        <v>27508</v>
      </c>
      <c r="J158" s="17">
        <f>J160*J14</f>
        <v>29249.5</v>
      </c>
      <c r="K158" s="17">
        <f t="shared" ref="K158:M158" si="106">K160*K14</f>
        <v>29784.430439999996</v>
      </c>
      <c r="L158" s="17">
        <f t="shared" si="106"/>
        <v>30206.137866300003</v>
      </c>
      <c r="M158" s="17">
        <f t="shared" si="106"/>
        <v>31583.647563897004</v>
      </c>
      <c r="N158" s="17">
        <f>N160*N14</f>
        <v>33032.781607619974</v>
      </c>
    </row>
    <row r="159" spans="1:14" x14ac:dyDescent="0.35">
      <c r="B159" s="43" t="s">
        <v>195</v>
      </c>
      <c r="C159" s="23">
        <f>C157/C158</f>
        <v>3.5873092176421102E-2</v>
      </c>
      <c r="D159" s="23">
        <f t="shared" ref="D159:I159" si="107">D157/D158</f>
        <v>3.0901024934985467E-2</v>
      </c>
      <c r="E159" s="23">
        <f t="shared" si="107"/>
        <v>2.7151768651065517E-2</v>
      </c>
      <c r="F159" s="23">
        <f t="shared" si="107"/>
        <v>2.7624506069559646E-2</v>
      </c>
      <c r="G159" s="23">
        <f t="shared" si="107"/>
        <v>2.88588328372829E-2</v>
      </c>
      <c r="H159" s="23">
        <f t="shared" si="107"/>
        <v>2.8520428401428006E-2</v>
      </c>
      <c r="I159" s="23">
        <f t="shared" si="107"/>
        <v>2.7010324269303474E-2</v>
      </c>
      <c r="J159" s="34">
        <f>0.028</f>
        <v>2.8000000000000001E-2</v>
      </c>
      <c r="K159" s="34">
        <f t="shared" ref="K159:N159" si="108">0.028</f>
        <v>2.8000000000000001E-2</v>
      </c>
      <c r="L159" s="34">
        <f t="shared" si="108"/>
        <v>2.8000000000000001E-2</v>
      </c>
      <c r="M159" s="34">
        <f t="shared" si="108"/>
        <v>2.8000000000000001E-2</v>
      </c>
      <c r="N159" s="34">
        <f t="shared" si="108"/>
        <v>2.8000000000000001E-2</v>
      </c>
    </row>
    <row r="160" spans="1:14" x14ac:dyDescent="0.35">
      <c r="B160" s="39" t="s">
        <v>196</v>
      </c>
      <c r="C160" s="45">
        <f>C158/C14</f>
        <v>3.7788374205267936</v>
      </c>
      <c r="D160" s="45">
        <f t="shared" ref="D160:I160" si="109">D158/D14</f>
        <v>4.0585678807947021</v>
      </c>
      <c r="E160" s="45">
        <f t="shared" si="109"/>
        <v>5.0867571533382243</v>
      </c>
      <c r="F160" s="45">
        <f t="shared" si="109"/>
        <v>10.783493282149712</v>
      </c>
      <c r="G160" s="45">
        <f t="shared" si="109"/>
        <v>5.9984180790960453</v>
      </c>
      <c r="H160" s="45">
        <f t="shared" si="109"/>
        <v>3.8988555521187753</v>
      </c>
      <c r="I160" s="45">
        <f t="shared" si="109"/>
        <v>3.4562130920969971</v>
      </c>
      <c r="J160" s="46">
        <v>3.5</v>
      </c>
      <c r="K160" s="46">
        <v>3.4</v>
      </c>
      <c r="L160" s="46">
        <v>3.3</v>
      </c>
      <c r="M160" s="46">
        <v>3.3</v>
      </c>
      <c r="N160" s="46">
        <v>3.3</v>
      </c>
    </row>
    <row r="164" spans="1:14" x14ac:dyDescent="0.35">
      <c r="B164" t="s">
        <v>167</v>
      </c>
    </row>
    <row r="165" spans="1:14" x14ac:dyDescent="0.35">
      <c r="A165" t="s">
        <v>68</v>
      </c>
      <c r="B165" s="4" t="s">
        <v>1</v>
      </c>
      <c r="C165" s="5" t="s">
        <v>2</v>
      </c>
      <c r="D165" s="5" t="s">
        <v>3</v>
      </c>
      <c r="E165" s="5" t="s">
        <v>4</v>
      </c>
      <c r="F165" s="5" t="s">
        <v>5</v>
      </c>
      <c r="G165" s="5" t="s">
        <v>6</v>
      </c>
      <c r="H165" s="5" t="s">
        <v>7</v>
      </c>
      <c r="I165" s="5" t="s">
        <v>8</v>
      </c>
      <c r="J165" s="5" t="s">
        <v>9</v>
      </c>
      <c r="K165" s="5" t="s">
        <v>10</v>
      </c>
      <c r="L165" s="5" t="s">
        <v>66</v>
      </c>
      <c r="M165" s="5" t="s">
        <v>67</v>
      </c>
      <c r="N165" s="5" t="s">
        <v>67</v>
      </c>
    </row>
    <row r="166" spans="1:14" x14ac:dyDescent="0.35">
      <c r="B166" s="6" t="s">
        <v>11</v>
      </c>
      <c r="C166" s="7" t="s">
        <v>12</v>
      </c>
      <c r="D166" s="7" t="s">
        <v>13</v>
      </c>
      <c r="E166" s="7" t="s">
        <v>14</v>
      </c>
      <c r="F166" s="7" t="s">
        <v>15</v>
      </c>
      <c r="G166" s="7" t="s">
        <v>16</v>
      </c>
      <c r="H166" s="7" t="s">
        <v>17</v>
      </c>
      <c r="I166" s="7" t="s">
        <v>18</v>
      </c>
      <c r="J166" s="7"/>
      <c r="K166" s="7"/>
      <c r="L166" s="7"/>
      <c r="M166" s="7"/>
      <c r="N166" s="7"/>
    </row>
    <row r="167" spans="1:14" x14ac:dyDescent="0.35">
      <c r="B167" s="8" t="s">
        <v>72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4" x14ac:dyDescent="0.35">
      <c r="B168" s="10" t="s">
        <v>73</v>
      </c>
      <c r="C168" s="23">
        <f>C70/C$7</f>
        <v>0.17195909580193758</v>
      </c>
      <c r="D168" s="23">
        <f t="shared" ref="D168:I168" si="110">D70/D$7</f>
        <v>0.18667331038231563</v>
      </c>
      <c r="E168" s="23">
        <f t="shared" si="110"/>
        <v>0.17634148342632097</v>
      </c>
      <c r="F168" s="23">
        <f t="shared" si="110"/>
        <v>0.27161393125426814</v>
      </c>
      <c r="G168" s="23">
        <f t="shared" si="110"/>
        <v>0.22738185746868872</v>
      </c>
      <c r="H168" s="23">
        <f t="shared" si="110"/>
        <v>0.21548221312133622</v>
      </c>
      <c r="I168" s="23">
        <f t="shared" si="110"/>
        <v>0.233431009221753</v>
      </c>
      <c r="J168" s="23"/>
      <c r="K168" s="23"/>
      <c r="L168" s="23"/>
      <c r="M168" s="23"/>
      <c r="N168" s="23"/>
    </row>
    <row r="169" spans="1:14" x14ac:dyDescent="0.35">
      <c r="B169" s="10" t="s">
        <v>74</v>
      </c>
      <c r="C169" s="23">
        <f t="shared" ref="C169:I169" si="111">C71/C$7</f>
        <v>0.13969077209120268</v>
      </c>
      <c r="D169" s="23">
        <f t="shared" si="111"/>
        <v>0.14837379960137706</v>
      </c>
      <c r="E169" s="23">
        <f t="shared" si="111"/>
        <v>0.148937479488021</v>
      </c>
      <c r="F169" s="23">
        <f t="shared" si="111"/>
        <v>0.18167539267015706</v>
      </c>
      <c r="G169" s="23">
        <f t="shared" si="111"/>
        <v>0.20671441719018846</v>
      </c>
      <c r="H169" s="23">
        <f t="shared" si="111"/>
        <v>0.18069541475949571</v>
      </c>
      <c r="I169" s="23">
        <f t="shared" si="111"/>
        <v>0.19786549455600563</v>
      </c>
      <c r="J169" s="11"/>
      <c r="K169" s="11"/>
      <c r="L169" s="11"/>
      <c r="M169" s="11"/>
      <c r="N169" s="11"/>
    </row>
    <row r="170" spans="1:14" x14ac:dyDescent="0.35">
      <c r="B170" s="10" t="s">
        <v>75</v>
      </c>
      <c r="C170" s="23">
        <f t="shared" ref="C170:I170" si="112">C72/C$7</f>
        <v>3.2268323710734903E-2</v>
      </c>
      <c r="D170" s="23">
        <f t="shared" si="112"/>
        <v>3.8299510780938573E-2</v>
      </c>
      <c r="E170" s="23">
        <f t="shared" si="112"/>
        <v>2.7404003938299969E-2</v>
      </c>
      <c r="F170" s="23">
        <f t="shared" si="112"/>
        <v>8.9938538584111091E-2</v>
      </c>
      <c r="G170" s="23">
        <f t="shared" si="112"/>
        <v>2.066744027850026E-2</v>
      </c>
      <c r="H170" s="23">
        <f t="shared" si="112"/>
        <v>3.4786798361840524E-2</v>
      </c>
      <c r="I170" s="23">
        <f t="shared" si="112"/>
        <v>3.5565514665747366E-2</v>
      </c>
      <c r="J170" s="11"/>
      <c r="K170" s="11"/>
      <c r="L170" s="11"/>
      <c r="M170" s="11"/>
      <c r="N170" s="11"/>
    </row>
    <row r="171" spans="1:14" x14ac:dyDescent="0.35">
      <c r="B171" s="10" t="s">
        <v>76</v>
      </c>
      <c r="C171" s="23">
        <f t="shared" ref="C171:I171" si="113">C73/C$7</f>
        <v>0.15561698796359721</v>
      </c>
      <c r="D171" s="23">
        <f t="shared" si="113"/>
        <v>0.15935857945279941</v>
      </c>
      <c r="E171" s="23">
        <f t="shared" si="113"/>
        <v>0.15781916639317362</v>
      </c>
      <c r="F171" s="23">
        <f t="shared" si="113"/>
        <v>0.14174823582972912</v>
      </c>
      <c r="G171" s="23">
        <f t="shared" si="113"/>
        <v>0.15837701572566124</v>
      </c>
      <c r="H171" s="23">
        <f t="shared" si="113"/>
        <v>0.13800690596643378</v>
      </c>
      <c r="I171" s="23">
        <f t="shared" si="113"/>
        <v>0.12679192162946365</v>
      </c>
      <c r="J171" s="34">
        <v>0.13500000000000001</v>
      </c>
      <c r="K171" s="34">
        <v>0.14000000000000001</v>
      </c>
      <c r="L171" s="34">
        <v>0.14499999999999999</v>
      </c>
      <c r="M171" s="34">
        <f t="shared" ref="M171:N171" si="114">0.15</f>
        <v>0.15</v>
      </c>
      <c r="N171" s="34">
        <f t="shared" si="114"/>
        <v>0.15</v>
      </c>
    </row>
    <row r="172" spans="1:14" x14ac:dyDescent="0.35">
      <c r="B172" s="10" t="s">
        <v>77</v>
      </c>
      <c r="C172" s="23">
        <f t="shared" ref="C172:I172" si="115">C74/C$7</f>
        <v>0.15561698796359721</v>
      </c>
      <c r="D172" s="23">
        <f t="shared" si="115"/>
        <v>0.15935857945279941</v>
      </c>
      <c r="E172" s="23">
        <f t="shared" si="115"/>
        <v>0.15781916639317362</v>
      </c>
      <c r="F172" s="23">
        <f t="shared" si="115"/>
        <v>0.14174823582972912</v>
      </c>
      <c r="G172" s="23">
        <f t="shared" si="115"/>
        <v>0.15837701572566124</v>
      </c>
      <c r="H172" s="23">
        <f t="shared" si="115"/>
        <v>0.13800690596643378</v>
      </c>
      <c r="I172" s="23">
        <f t="shared" si="115"/>
        <v>0.12679192162946365</v>
      </c>
      <c r="J172" s="23"/>
      <c r="K172" s="23"/>
      <c r="L172" s="23"/>
      <c r="M172" s="23"/>
      <c r="N172" s="23"/>
    </row>
    <row r="173" spans="1:14" x14ac:dyDescent="0.35">
      <c r="B173" s="10" t="s">
        <v>78</v>
      </c>
      <c r="C173" s="23">
        <f t="shared" ref="C173:I173" si="116">C75/C$7</f>
        <v>0</v>
      </c>
      <c r="D173" s="23">
        <f t="shared" si="116"/>
        <v>0</v>
      </c>
      <c r="E173" s="23">
        <f t="shared" si="116"/>
        <v>0</v>
      </c>
      <c r="F173" s="23">
        <f t="shared" si="116"/>
        <v>0</v>
      </c>
      <c r="G173" s="23">
        <f t="shared" si="116"/>
        <v>0</v>
      </c>
      <c r="H173" s="23">
        <f t="shared" si="116"/>
        <v>0</v>
      </c>
      <c r="I173" s="23">
        <f t="shared" si="116"/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</row>
    <row r="174" spans="1:14" x14ac:dyDescent="0.35">
      <c r="B174" s="10" t="s">
        <v>79</v>
      </c>
      <c r="C174" s="23">
        <f t="shared" ref="C174:I174" si="117">C76/C$7</f>
        <v>2.5834230355220669E-2</v>
      </c>
      <c r="D174" s="23">
        <f t="shared" si="117"/>
        <v>2.6567312919007068E-2</v>
      </c>
      <c r="E174" s="23">
        <f t="shared" si="117"/>
        <v>2.9414177879881851E-2</v>
      </c>
      <c r="F174" s="23">
        <f t="shared" si="117"/>
        <v>3.2506259959025723E-2</v>
      </c>
      <c r="G174" s="23">
        <f t="shared" si="117"/>
        <v>3.183145932535713E-2</v>
      </c>
      <c r="H174" s="23">
        <f t="shared" si="117"/>
        <v>2.866779089376054E-2</v>
      </c>
      <c r="I174" s="23">
        <f t="shared" si="117"/>
        <v>2.697578212531242E-2</v>
      </c>
      <c r="J174" s="34">
        <v>0.03</v>
      </c>
      <c r="K174" s="34">
        <v>0.03</v>
      </c>
      <c r="L174" s="34">
        <v>0.03</v>
      </c>
      <c r="M174" s="34">
        <v>0.03</v>
      </c>
      <c r="N174" s="34">
        <v>0.03</v>
      </c>
    </row>
    <row r="175" spans="1:14" x14ac:dyDescent="0.35">
      <c r="B175" s="10" t="s">
        <v>80</v>
      </c>
      <c r="C175" s="23">
        <f t="shared" ref="C175:H175" si="118">C77/C$7</f>
        <v>0.28943634406497698</v>
      </c>
      <c r="D175" s="23">
        <f t="shared" si="118"/>
        <v>0.27563870266352603</v>
      </c>
      <c r="E175" s="23">
        <f t="shared" si="118"/>
        <v>0.25646127338365604</v>
      </c>
      <c r="F175" s="23">
        <f t="shared" si="118"/>
        <v>0.2834509446847257</v>
      </c>
      <c r="G175" s="23">
        <f t="shared" si="118"/>
        <v>0.3011083990236485</v>
      </c>
      <c r="H175" s="23">
        <f t="shared" si="118"/>
        <v>0.28751304906448244</v>
      </c>
      <c r="I175" s="23">
        <f>I77/I$7</f>
        <v>0.27027492889769889</v>
      </c>
      <c r="J175" s="34">
        <f>SUM(J176:J178)+J179</f>
        <v>0.27700000000000002</v>
      </c>
      <c r="K175" s="34">
        <f t="shared" ref="K175:M175" si="119">SUM(K176:K178)+K179</f>
        <v>0.27700000000000002</v>
      </c>
      <c r="L175" s="34">
        <f t="shared" si="119"/>
        <v>0.27700000000000002</v>
      </c>
      <c r="M175" s="34">
        <f t="shared" si="119"/>
        <v>0.27700000000000002</v>
      </c>
      <c r="N175" s="34">
        <f t="shared" ref="N175" si="120">SUM(N176:N178)+N179</f>
        <v>0.27700000000000002</v>
      </c>
    </row>
    <row r="176" spans="1:14" x14ac:dyDescent="0.35">
      <c r="B176" s="10" t="s">
        <v>81</v>
      </c>
      <c r="C176" s="23">
        <f t="shared" ref="C176:I176" si="121">C78/C$7</f>
        <v>6.3851648889323804E-3</v>
      </c>
      <c r="D176" s="23">
        <f t="shared" si="121"/>
        <v>5.843449900344265E-3</v>
      </c>
      <c r="E176" s="23">
        <f t="shared" si="121"/>
        <v>4.3075155891040369E-3</v>
      </c>
      <c r="F176" s="23">
        <f t="shared" si="121"/>
        <v>4.5754609606191666E-3</v>
      </c>
      <c r="G176" s="23">
        <f t="shared" si="121"/>
        <v>5.8220959545436353E-3</v>
      </c>
      <c r="H176" s="23">
        <f t="shared" si="121"/>
        <v>1.8469445113627238E-3</v>
      </c>
      <c r="I176" s="23">
        <f t="shared" si="121"/>
        <v>1.3502255163894395E-3</v>
      </c>
      <c r="J176" s="34">
        <f>0.002</f>
        <v>2E-3</v>
      </c>
      <c r="K176" s="34">
        <f t="shared" ref="K176:N176" si="122">0.002</f>
        <v>2E-3</v>
      </c>
      <c r="L176" s="34">
        <f t="shared" si="122"/>
        <v>2E-3</v>
      </c>
      <c r="M176" s="34">
        <f t="shared" si="122"/>
        <v>2E-3</v>
      </c>
      <c r="N176" s="34">
        <f t="shared" si="122"/>
        <v>2E-3</v>
      </c>
    </row>
    <row r="177" spans="2:14" x14ac:dyDescent="0.35">
      <c r="B177" s="10" t="s">
        <v>82</v>
      </c>
      <c r="C177" s="23"/>
      <c r="D177" s="23"/>
      <c r="E177" s="23"/>
      <c r="F177" s="23"/>
      <c r="G177" s="23">
        <f t="shared" ref="G177:I177" si="123">G79/G$7</f>
        <v>1.1384098275379137E-2</v>
      </c>
      <c r="H177" s="23">
        <f t="shared" si="123"/>
        <v>1.0069862683690678E-2</v>
      </c>
      <c r="I177" s="23">
        <f t="shared" si="123"/>
        <v>1.008359906920624E-2</v>
      </c>
      <c r="J177" s="34">
        <v>0.01</v>
      </c>
      <c r="K177" s="34">
        <v>0.01</v>
      </c>
      <c r="L177" s="34">
        <v>0.01</v>
      </c>
      <c r="M177" s="34">
        <v>0.01</v>
      </c>
      <c r="N177" s="34">
        <v>0.01</v>
      </c>
    </row>
    <row r="178" spans="2:14" x14ac:dyDescent="0.35">
      <c r="B178" s="10" t="s">
        <v>83</v>
      </c>
      <c r="C178" s="23">
        <f t="shared" ref="C178:I178" si="124">C80/C$7</f>
        <v>9.932478716117037E-3</v>
      </c>
      <c r="D178" s="23">
        <f t="shared" si="124"/>
        <v>6.3417285740170323E-3</v>
      </c>
      <c r="E178" s="23">
        <f t="shared" si="124"/>
        <v>3.4049885132917622E-3</v>
      </c>
      <c r="F178" s="23">
        <f t="shared" si="124"/>
        <v>6.0550876394263597E-3</v>
      </c>
      <c r="G178" s="23">
        <f t="shared" si="124"/>
        <v>4.7617142171181622E-3</v>
      </c>
      <c r="H178" s="23">
        <f t="shared" si="124"/>
        <v>4.1596402473299604E-3</v>
      </c>
      <c r="I178" s="23">
        <f t="shared" si="124"/>
        <v>5.04179953460312E-3</v>
      </c>
      <c r="J178" s="34">
        <v>5.0000000000000001E-3</v>
      </c>
      <c r="K178" s="34">
        <v>5.0000000000000001E-3</v>
      </c>
      <c r="L178" s="34">
        <v>5.0000000000000001E-3</v>
      </c>
      <c r="M178" s="34">
        <v>5.0000000000000001E-3</v>
      </c>
      <c r="N178" s="34">
        <v>5.0000000000000001E-3</v>
      </c>
    </row>
    <row r="179" spans="2:14" x14ac:dyDescent="0.35">
      <c r="B179" s="10" t="s">
        <v>84</v>
      </c>
      <c r="C179" s="23">
        <f t="shared" ref="C179:I179" si="125">C81/C$7</f>
        <v>0.27311870045992759</v>
      </c>
      <c r="D179" s="23">
        <f t="shared" si="125"/>
        <v>0.26345352418916468</v>
      </c>
      <c r="E179" s="23">
        <f t="shared" si="125"/>
        <v>0.24874876928126025</v>
      </c>
      <c r="F179" s="23">
        <f t="shared" si="125"/>
        <v>0.27282039608468017</v>
      </c>
      <c r="G179" s="23">
        <f t="shared" si="125"/>
        <v>0.27914049057660756</v>
      </c>
      <c r="H179" s="23">
        <f t="shared" si="125"/>
        <v>0.27143660162209909</v>
      </c>
      <c r="I179" s="23">
        <f t="shared" si="125"/>
        <v>0.25379930477750007</v>
      </c>
      <c r="J179" s="34">
        <v>0.26</v>
      </c>
      <c r="K179" s="34">
        <v>0.26</v>
      </c>
      <c r="L179" s="34">
        <v>0.26</v>
      </c>
      <c r="M179" s="34">
        <v>0.26</v>
      </c>
      <c r="N179" s="34">
        <v>0.26</v>
      </c>
    </row>
    <row r="180" spans="2:14" x14ac:dyDescent="0.35">
      <c r="B180" s="8" t="s">
        <v>85</v>
      </c>
      <c r="C180" s="23">
        <f t="shared" ref="C180:I180" si="126">C82/C$7</f>
        <v>0.64282219395244156</v>
      </c>
      <c r="D180" s="23">
        <f t="shared" si="126"/>
        <v>0.64823790541764814</v>
      </c>
      <c r="E180" s="23">
        <f t="shared" si="126"/>
        <v>0.62003610108303253</v>
      </c>
      <c r="F180" s="23">
        <f t="shared" si="126"/>
        <v>0.72931937172774874</v>
      </c>
      <c r="G180" s="23">
        <f t="shared" si="126"/>
        <v>0.71869873154335562</v>
      </c>
      <c r="H180" s="23">
        <f t="shared" si="126"/>
        <v>0.66966995904601301</v>
      </c>
      <c r="I180" s="23">
        <f t="shared" si="126"/>
        <v>0.65747364187422797</v>
      </c>
      <c r="J180" s="34"/>
      <c r="K180" s="34"/>
      <c r="L180" s="34"/>
      <c r="M180" s="34"/>
      <c r="N180" s="34"/>
    </row>
    <row r="181" spans="2:14" x14ac:dyDescent="0.35">
      <c r="B181" s="10" t="s">
        <v>86</v>
      </c>
      <c r="C181" s="23">
        <f t="shared" ref="C181:I181" si="127">C83/C$7</f>
        <v>0.10815637537919562</v>
      </c>
      <c r="D181" s="23">
        <f t="shared" si="127"/>
        <v>0.1213761551005617</v>
      </c>
      <c r="E181" s="23">
        <f t="shared" si="127"/>
        <v>0.20899655398752873</v>
      </c>
      <c r="F181" s="23">
        <f t="shared" si="127"/>
        <v>0.22217163669474163</v>
      </c>
      <c r="G181" s="23">
        <f t="shared" si="127"/>
        <v>0.20613420831499341</v>
      </c>
      <c r="H181" s="23">
        <f t="shared" si="127"/>
        <v>0.17353248213281941</v>
      </c>
      <c r="I181" s="23">
        <f t="shared" si="127"/>
        <v>0.18690568531127008</v>
      </c>
      <c r="J181" s="23"/>
      <c r="K181" s="23"/>
      <c r="L181" s="23"/>
      <c r="M181" s="23"/>
      <c r="N181" s="23"/>
    </row>
    <row r="182" spans="2:14" x14ac:dyDescent="0.35">
      <c r="B182" s="10" t="s">
        <v>87</v>
      </c>
      <c r="C182" s="23">
        <f t="shared" ref="C182:I182" si="128">C84/C$7</f>
        <v>0.32821215383109892</v>
      </c>
      <c r="D182" s="23">
        <f t="shared" si="128"/>
        <v>0.33688168146403336</v>
      </c>
      <c r="E182" s="23">
        <f t="shared" si="128"/>
        <v>0.43069002297341646</v>
      </c>
      <c r="F182" s="23">
        <f t="shared" si="128"/>
        <v>0.49467334395629409</v>
      </c>
      <c r="G182" s="23">
        <f t="shared" si="128"/>
        <v>0.47883237965667641</v>
      </c>
      <c r="H182" s="23">
        <f t="shared" si="128"/>
        <v>0.40627961133863327</v>
      </c>
      <c r="I182" s="23">
        <f t="shared" si="128"/>
        <v>0.40943434169324028</v>
      </c>
      <c r="J182" s="23"/>
      <c r="K182" s="23"/>
      <c r="L182" s="23"/>
      <c r="M182" s="23"/>
      <c r="N182" s="23"/>
    </row>
    <row r="183" spans="2:14" x14ac:dyDescent="0.35">
      <c r="B183" s="10" t="s">
        <v>88</v>
      </c>
      <c r="C183" s="23">
        <f t="shared" ref="C183:I183" si="129">C85/C$7</f>
        <v>0.22005577845190333</v>
      </c>
      <c r="D183" s="23">
        <f t="shared" si="129"/>
        <v>0.21550552636347164</v>
      </c>
      <c r="E183" s="23">
        <f t="shared" si="129"/>
        <v>0.22169346898588776</v>
      </c>
      <c r="F183" s="23">
        <f t="shared" si="129"/>
        <v>0.27250170726155248</v>
      </c>
      <c r="G183" s="23">
        <f t="shared" si="129"/>
        <v>0.272698171341683</v>
      </c>
      <c r="H183" s="23">
        <f t="shared" si="129"/>
        <v>0.23274712920581386</v>
      </c>
      <c r="I183" s="23">
        <f t="shared" si="129"/>
        <v>0.22244247177454107</v>
      </c>
      <c r="J183" s="23"/>
      <c r="K183" s="23"/>
      <c r="L183" s="23"/>
      <c r="M183" s="23"/>
      <c r="N183" s="23"/>
    </row>
    <row r="184" spans="2:14" x14ac:dyDescent="0.35">
      <c r="B184" s="10" t="s">
        <v>89</v>
      </c>
      <c r="C184" s="23">
        <f t="shared" ref="C184:I184" si="130">C86/C$7</f>
        <v>2.6959585086603385E-2</v>
      </c>
      <c r="D184" s="23">
        <f t="shared" si="130"/>
        <v>3.0168508787823883E-2</v>
      </c>
      <c r="E184" s="23">
        <f t="shared" si="130"/>
        <v>3.1280767968493599E-2</v>
      </c>
      <c r="F184" s="23">
        <f t="shared" si="130"/>
        <v>5.0921921238333716E-2</v>
      </c>
      <c r="G184" s="23">
        <f t="shared" si="130"/>
        <v>4.8997639150094037E-2</v>
      </c>
      <c r="H184" s="23">
        <f t="shared" si="130"/>
        <v>4.1548221312133621E-2</v>
      </c>
      <c r="I184" s="23">
        <f t="shared" si="130"/>
        <v>3.7978683673762531E-2</v>
      </c>
      <c r="J184" s="23"/>
      <c r="K184" s="23"/>
      <c r="L184" s="23"/>
      <c r="M184" s="23"/>
      <c r="N184" s="23"/>
    </row>
    <row r="185" spans="2:14" x14ac:dyDescent="0.35">
      <c r="B185" s="10" t="s">
        <v>90</v>
      </c>
      <c r="C185" s="23">
        <f t="shared" ref="C185:I185" si="131">C87/C$7</f>
        <v>6.6542714551325963E-3</v>
      </c>
      <c r="D185" s="23">
        <f t="shared" si="131"/>
        <v>6.1831853596666063E-3</v>
      </c>
      <c r="E185" s="23">
        <f t="shared" si="131"/>
        <v>7.4868723334427303E-3</v>
      </c>
      <c r="F185" s="23">
        <f t="shared" si="131"/>
        <v>2.7384475301616206E-2</v>
      </c>
      <c r="G185" s="23">
        <f t="shared" si="131"/>
        <v>2.5769276939698292E-2</v>
      </c>
      <c r="H185" s="23">
        <f t="shared" si="131"/>
        <v>2.155303942825022E-2</v>
      </c>
      <c r="I185" s="23">
        <f t="shared" si="131"/>
        <v>1.9693182797552358E-2</v>
      </c>
      <c r="J185" s="34">
        <f>0.02</f>
        <v>0.02</v>
      </c>
      <c r="K185" s="34">
        <f t="shared" ref="K185:N185" si="132">0.0225</f>
        <v>2.2499999999999999E-2</v>
      </c>
      <c r="L185" s="34">
        <f t="shared" si="132"/>
        <v>2.2499999999999999E-2</v>
      </c>
      <c r="M185" s="34">
        <f t="shared" si="132"/>
        <v>2.2499999999999999E-2</v>
      </c>
      <c r="N185" s="34">
        <f t="shared" si="132"/>
        <v>2.2499999999999999E-2</v>
      </c>
    </row>
    <row r="186" spans="2:14" x14ac:dyDescent="0.35">
      <c r="B186" s="10" t="s">
        <v>91</v>
      </c>
      <c r="C186" s="23">
        <f t="shared" ref="C186:I186" si="133">C88/C$7</f>
        <v>2.0305313631470791E-2</v>
      </c>
      <c r="D186" s="23">
        <f t="shared" si="133"/>
        <v>2.3985323428157276E-2</v>
      </c>
      <c r="E186" s="23">
        <f t="shared" si="133"/>
        <v>2.3793895635050868E-2</v>
      </c>
      <c r="F186" s="23">
        <f t="shared" si="133"/>
        <v>2.3537445936717506E-2</v>
      </c>
      <c r="G186" s="23">
        <f t="shared" si="133"/>
        <v>2.3228362210395741E-2</v>
      </c>
      <c r="H186" s="23">
        <f t="shared" si="133"/>
        <v>1.9995181883883401E-2</v>
      </c>
      <c r="I186" s="23">
        <f t="shared" si="133"/>
        <v>1.8285500876210177E-2</v>
      </c>
      <c r="J186" s="34">
        <v>0.02</v>
      </c>
      <c r="K186" s="34">
        <v>0.02</v>
      </c>
      <c r="L186" s="34">
        <v>0.02</v>
      </c>
      <c r="M186" s="34">
        <v>0.02</v>
      </c>
      <c r="N186" s="34">
        <v>0.02</v>
      </c>
    </row>
    <row r="187" spans="2:14" x14ac:dyDescent="0.35">
      <c r="B187" s="10" t="s">
        <v>92</v>
      </c>
      <c r="C187" s="23">
        <f t="shared" ref="C187:I187" si="134">C89/C$7</f>
        <v>0.92973872198845287</v>
      </c>
      <c r="D187" s="23">
        <f t="shared" si="134"/>
        <v>0.90698043123754302</v>
      </c>
      <c r="E187" s="23">
        <f t="shared" si="134"/>
        <v>1.0095380702330161</v>
      </c>
      <c r="F187" s="23">
        <f t="shared" si="134"/>
        <v>1.0728203960846803</v>
      </c>
      <c r="G187" s="23">
        <f t="shared" si="134"/>
        <v>1.0432155576007363</v>
      </c>
      <c r="H187" s="23">
        <f t="shared" si="134"/>
        <v>0.9138681442222758</v>
      </c>
      <c r="I187" s="23">
        <f t="shared" si="134"/>
        <v>0.82062110373753916</v>
      </c>
      <c r="J187" s="23"/>
      <c r="K187" s="23"/>
      <c r="L187" s="23"/>
      <c r="M187" s="23"/>
      <c r="N187" s="23"/>
    </row>
    <row r="188" spans="2:14" x14ac:dyDescent="0.35">
      <c r="B188" s="10" t="s">
        <v>93</v>
      </c>
      <c r="C188" s="23">
        <f t="shared" ref="C188:I188" si="135">C90/C$7</f>
        <v>0.86985027889225952</v>
      </c>
      <c r="D188" s="23">
        <f t="shared" si="135"/>
        <v>0.85028990759195511</v>
      </c>
      <c r="E188" s="23">
        <f t="shared" si="135"/>
        <v>0.9420331473580571</v>
      </c>
      <c r="F188" s="23">
        <f t="shared" si="135"/>
        <v>1.0095606646938311</v>
      </c>
      <c r="G188" s="23">
        <f t="shared" si="135"/>
        <v>0.9973390420551399</v>
      </c>
      <c r="H188" s="23">
        <f t="shared" si="135"/>
        <v>0.87734682405845976</v>
      </c>
      <c r="I188" s="23">
        <f t="shared" si="135"/>
        <v>0.7845097532247407</v>
      </c>
      <c r="J188" s="23"/>
      <c r="K188" s="23"/>
      <c r="L188" s="23"/>
      <c r="M188" s="23"/>
      <c r="N188" s="23"/>
    </row>
    <row r="189" spans="2:14" x14ac:dyDescent="0.35">
      <c r="B189" s="12" t="s">
        <v>94</v>
      </c>
      <c r="C189" s="23">
        <f t="shared" ref="C189:I189" si="136">C91/C$7</f>
        <v>0.2103924063019865</v>
      </c>
      <c r="D189" s="23">
        <f t="shared" si="136"/>
        <v>0.22177930784562422</v>
      </c>
      <c r="E189" s="23">
        <f t="shared" si="136"/>
        <v>0.23890301936330818</v>
      </c>
      <c r="F189" s="23">
        <f t="shared" si="136"/>
        <v>0.26448895970862735</v>
      </c>
      <c r="G189" s="23">
        <f t="shared" si="136"/>
        <v>0.32209595454363571</v>
      </c>
      <c r="H189" s="23">
        <f t="shared" si="136"/>
        <v>0.27880831928049465</v>
      </c>
      <c r="I189" s="23">
        <f t="shared" si="136"/>
        <v>0.25249217156482517</v>
      </c>
      <c r="J189" s="30" t="s">
        <v>168</v>
      </c>
      <c r="K189" s="30" t="s">
        <v>168</v>
      </c>
      <c r="L189" s="30" t="s">
        <v>168</v>
      </c>
      <c r="M189" s="30" t="s">
        <v>168</v>
      </c>
      <c r="N189" s="30" t="s">
        <v>168</v>
      </c>
    </row>
    <row r="190" spans="2:14" x14ac:dyDescent="0.35">
      <c r="B190" s="12" t="s">
        <v>95</v>
      </c>
      <c r="C190" s="23">
        <f t="shared" ref="C190:I190" si="137">C92/C$7</f>
        <v>0.659457872590273</v>
      </c>
      <c r="D190" s="23">
        <f t="shared" si="137"/>
        <v>0.62851059974633083</v>
      </c>
      <c r="E190" s="23">
        <f t="shared" si="137"/>
        <v>0.70313012799474894</v>
      </c>
      <c r="F190" s="23">
        <f t="shared" si="137"/>
        <v>0.7450717049852037</v>
      </c>
      <c r="G190" s="23">
        <f t="shared" si="137"/>
        <v>0.67524308751150419</v>
      </c>
      <c r="H190" s="23">
        <f t="shared" si="137"/>
        <v>0.59853850477796511</v>
      </c>
      <c r="I190" s="23">
        <f t="shared" si="137"/>
        <v>0.53201758165991553</v>
      </c>
      <c r="J190" s="30" t="s">
        <v>168</v>
      </c>
      <c r="K190" s="30" t="s">
        <v>168</v>
      </c>
      <c r="L190" s="30" t="s">
        <v>168</v>
      </c>
      <c r="M190" s="30" t="s">
        <v>168</v>
      </c>
      <c r="N190" s="30" t="s">
        <v>168</v>
      </c>
    </row>
    <row r="191" spans="2:14" x14ac:dyDescent="0.35">
      <c r="B191" s="10" t="s">
        <v>96</v>
      </c>
      <c r="C191" s="23">
        <f t="shared" ref="C191:I191" si="138">C93/C$7</f>
        <v>6.2383794891868087E-3</v>
      </c>
      <c r="D191" s="23">
        <f t="shared" si="138"/>
        <v>7.17974270701214E-3</v>
      </c>
      <c r="E191" s="23">
        <f t="shared" si="138"/>
        <v>7.5894322284213982E-3</v>
      </c>
      <c r="F191" s="23">
        <f t="shared" si="138"/>
        <v>1.1222399271568404E-2</v>
      </c>
      <c r="G191" s="23">
        <f t="shared" si="138"/>
        <v>1.5345524388779961E-2</v>
      </c>
      <c r="H191" s="23">
        <f t="shared" si="138"/>
        <v>1.4181321769854654E-2</v>
      </c>
      <c r="I191" s="23">
        <f t="shared" si="138"/>
        <v>1.6116521589244162E-2</v>
      </c>
      <c r="J191" s="30" t="s">
        <v>168</v>
      </c>
      <c r="K191" s="30" t="s">
        <v>168</v>
      </c>
      <c r="L191" s="30" t="s">
        <v>168</v>
      </c>
      <c r="M191" s="30" t="s">
        <v>168</v>
      </c>
      <c r="N191" s="30" t="s">
        <v>168</v>
      </c>
    </row>
    <row r="192" spans="2:14" x14ac:dyDescent="0.35">
      <c r="B192" s="10" t="s">
        <v>81</v>
      </c>
      <c r="C192" s="23">
        <f t="shared" ref="C192:I192" si="139">C94/C$7</f>
        <v>1.51922888736667E-2</v>
      </c>
      <c r="D192" s="23">
        <f t="shared" si="139"/>
        <v>1.1573654647581083E-2</v>
      </c>
      <c r="E192" s="23">
        <f t="shared" si="139"/>
        <v>2.1558089924515918E-2</v>
      </c>
      <c r="F192" s="23">
        <f t="shared" si="139"/>
        <v>2.845435920783064E-2</v>
      </c>
      <c r="G192" s="23">
        <f t="shared" si="139"/>
        <v>1.1504141490936736E-2</v>
      </c>
      <c r="H192" s="23">
        <f t="shared" si="139"/>
        <v>6.0387055328033406E-3</v>
      </c>
      <c r="I192" s="23">
        <f t="shared" si="139"/>
        <v>1.7955126547731909E-3</v>
      </c>
      <c r="J192" s="30" t="s">
        <v>168</v>
      </c>
      <c r="K192" s="30" t="s">
        <v>168</v>
      </c>
      <c r="L192" s="30" t="s">
        <v>168</v>
      </c>
      <c r="M192" s="30" t="s">
        <v>168</v>
      </c>
      <c r="N192" s="30" t="s">
        <v>168</v>
      </c>
    </row>
    <row r="193" spans="2:14" x14ac:dyDescent="0.35">
      <c r="B193" s="10" t="s">
        <v>97</v>
      </c>
      <c r="C193" s="23">
        <f t="shared" ref="C193:I193" si="140">C95/C$7</f>
        <v>2.5785301888638808E-2</v>
      </c>
      <c r="D193" s="23">
        <f t="shared" si="140"/>
        <v>3.7914477260373253E-2</v>
      </c>
      <c r="E193" s="23">
        <f t="shared" si="140"/>
        <v>3.8357400722021658E-2</v>
      </c>
      <c r="F193" s="23">
        <f t="shared" si="140"/>
        <v>2.356020942408377E-2</v>
      </c>
      <c r="G193" s="23">
        <f t="shared" si="140"/>
        <v>1.9006842463286783E-2</v>
      </c>
      <c r="H193" s="23">
        <f t="shared" si="140"/>
        <v>1.6285232474102625E-2</v>
      </c>
      <c r="I193" s="23">
        <f t="shared" si="140"/>
        <v>1.8199316268781063E-2</v>
      </c>
      <c r="J193" s="30" t="s">
        <v>168</v>
      </c>
      <c r="K193" s="30" t="s">
        <v>168</v>
      </c>
      <c r="L193" s="30" t="s">
        <v>168</v>
      </c>
      <c r="M193" s="30" t="s">
        <v>168</v>
      </c>
      <c r="N193" s="30" t="s">
        <v>168</v>
      </c>
    </row>
    <row r="194" spans="2:14" x14ac:dyDescent="0.35">
      <c r="B194" s="10" t="s">
        <v>98</v>
      </c>
      <c r="C194" s="23">
        <f t="shared" ref="C194:I194" si="141">C96/C$7</f>
        <v>1.2672472844701048E-2</v>
      </c>
      <c r="D194" s="23">
        <f t="shared" si="141"/>
        <v>2.26490306214894E-5</v>
      </c>
      <c r="E194" s="23">
        <f t="shared" si="141"/>
        <v>0</v>
      </c>
      <c r="F194" s="23">
        <f t="shared" si="141"/>
        <v>2.2763487366264511E-5</v>
      </c>
      <c r="G194" s="23">
        <f t="shared" si="141"/>
        <v>2.0007202592933457E-5</v>
      </c>
      <c r="H194" s="23">
        <f t="shared" si="141"/>
        <v>1.6060387055328034E-5</v>
      </c>
      <c r="I194" s="23">
        <f t="shared" si="141"/>
        <v>0</v>
      </c>
      <c r="J194" s="30" t="s">
        <v>168</v>
      </c>
      <c r="K194" s="30" t="s">
        <v>168</v>
      </c>
      <c r="L194" s="30" t="s">
        <v>168</v>
      </c>
      <c r="M194" s="30" t="s">
        <v>168</v>
      </c>
      <c r="N194" s="30" t="s">
        <v>168</v>
      </c>
    </row>
    <row r="195" spans="2:14" x14ac:dyDescent="0.35">
      <c r="B195" s="8" t="s">
        <v>99</v>
      </c>
      <c r="C195" s="23">
        <f t="shared" ref="C195:I195" si="142">C97/C$7</f>
        <v>1.064854682454252</v>
      </c>
      <c r="D195" s="23">
        <f t="shared" si="142"/>
        <v>1.0585250951259286</v>
      </c>
      <c r="E195" s="23">
        <f t="shared" si="142"/>
        <v>1.2498153921890385</v>
      </c>
      <c r="F195" s="23">
        <f t="shared" si="142"/>
        <v>1.3459139540177556</v>
      </c>
      <c r="G195" s="23">
        <f t="shared" si="142"/>
        <v>1.2983474050658237</v>
      </c>
      <c r="H195" s="23">
        <f t="shared" si="142"/>
        <v>1.1289488476672287</v>
      </c>
      <c r="I195" s="23">
        <f t="shared" si="142"/>
        <v>1.0455054727225717</v>
      </c>
      <c r="J195" s="31"/>
      <c r="K195" s="31"/>
      <c r="L195" s="31"/>
      <c r="M195" s="31"/>
      <c r="N195" s="31"/>
    </row>
    <row r="196" spans="2:14" x14ac:dyDescent="0.35">
      <c r="B196" s="8" t="s">
        <v>72</v>
      </c>
      <c r="C196" s="23">
        <f t="shared" ref="C196:I196" si="143">C98/C$7</f>
        <v>1.7076768764066934</v>
      </c>
      <c r="D196" s="23">
        <f t="shared" si="143"/>
        <v>1.7067630005435768</v>
      </c>
      <c r="E196" s="23">
        <f t="shared" si="143"/>
        <v>1.8698514932720709</v>
      </c>
      <c r="F196" s="23">
        <f t="shared" si="143"/>
        <v>2.0752333257455042</v>
      </c>
      <c r="G196" s="23">
        <f t="shared" si="143"/>
        <v>2.0170461366091792</v>
      </c>
      <c r="H196" s="23">
        <f t="shared" si="143"/>
        <v>1.7986188067132418</v>
      </c>
      <c r="I196" s="23">
        <f t="shared" si="143"/>
        <v>1.7029791145967996</v>
      </c>
      <c r="J196" s="31"/>
      <c r="K196" s="31"/>
      <c r="L196" s="31"/>
      <c r="M196" s="31"/>
      <c r="N196" s="31"/>
    </row>
    <row r="197" spans="2:14" x14ac:dyDescent="0.35">
      <c r="B197" s="8"/>
      <c r="C197" s="14"/>
      <c r="D197" s="14"/>
      <c r="E197" s="14"/>
      <c r="F197" s="14"/>
      <c r="G197" s="14"/>
      <c r="H197" s="14"/>
      <c r="I197" s="14"/>
      <c r="J197" s="31"/>
      <c r="K197" s="31"/>
      <c r="L197" s="31"/>
      <c r="M197" s="31"/>
      <c r="N197" s="31"/>
    </row>
    <row r="198" spans="2:14" x14ac:dyDescent="0.35">
      <c r="B198" s="8" t="s">
        <v>100</v>
      </c>
      <c r="C198" s="14"/>
      <c r="D198" s="14"/>
      <c r="E198" s="14"/>
      <c r="F198" s="14"/>
      <c r="G198" s="14"/>
      <c r="H198" s="14"/>
      <c r="I198" s="14"/>
      <c r="J198" s="31"/>
      <c r="K198" s="31"/>
      <c r="L198" s="31"/>
      <c r="M198" s="31"/>
      <c r="N198" s="31"/>
    </row>
    <row r="199" spans="2:14" x14ac:dyDescent="0.35">
      <c r="B199" s="10" t="s">
        <v>101</v>
      </c>
      <c r="C199" s="23">
        <f>C101/$C$7</f>
        <v>0.49601232997357864</v>
      </c>
      <c r="D199" s="23">
        <f t="shared" ref="D199:I199" si="144">D101/$C$7</f>
        <v>0.52314316469321853</v>
      </c>
      <c r="E199" s="23">
        <f t="shared" si="144"/>
        <v>0.57845679616400825</v>
      </c>
      <c r="F199" s="23">
        <f t="shared" si="144"/>
        <v>0.58139250415891963</v>
      </c>
      <c r="G199" s="23">
        <f t="shared" si="144"/>
        <v>0.71247186613171543</v>
      </c>
      <c r="H199" s="23">
        <f t="shared" si="144"/>
        <v>0.83202857422448384</v>
      </c>
      <c r="I199" s="23">
        <f t="shared" si="144"/>
        <v>0.89531754574811628</v>
      </c>
      <c r="J199" s="23"/>
      <c r="K199" s="23"/>
      <c r="L199" s="23"/>
      <c r="M199" s="23"/>
      <c r="N199" s="23"/>
    </row>
    <row r="200" spans="2:14" x14ac:dyDescent="0.35">
      <c r="B200" s="10" t="s">
        <v>102</v>
      </c>
      <c r="C200" s="23">
        <f t="shared" ref="C200:I200" si="145">C102/C$7</f>
        <v>0.20055778451903317</v>
      </c>
      <c r="D200" s="23">
        <f t="shared" si="145"/>
        <v>0.18662801232107265</v>
      </c>
      <c r="E200" s="23">
        <f t="shared" si="145"/>
        <v>0.1746389891696751</v>
      </c>
      <c r="F200" s="23">
        <f t="shared" si="145"/>
        <v>0.2020487138629638</v>
      </c>
      <c r="G200" s="23">
        <f t="shared" si="145"/>
        <v>0.24062662558521067</v>
      </c>
      <c r="H200" s="23">
        <f t="shared" si="145"/>
        <v>0.2101983457801333</v>
      </c>
      <c r="I200" s="23">
        <f t="shared" si="145"/>
        <v>0.19494958200465398</v>
      </c>
      <c r="J200" s="34">
        <f>0.2</f>
        <v>0.2</v>
      </c>
      <c r="K200" s="34">
        <f t="shared" ref="K200:N200" si="146">0.2</f>
        <v>0.2</v>
      </c>
      <c r="L200" s="34">
        <f t="shared" si="146"/>
        <v>0.2</v>
      </c>
      <c r="M200" s="34">
        <f t="shared" si="146"/>
        <v>0.2</v>
      </c>
      <c r="N200" s="34">
        <f t="shared" si="146"/>
        <v>0.2</v>
      </c>
    </row>
    <row r="201" spans="2:14" x14ac:dyDescent="0.35">
      <c r="B201" s="10" t="s">
        <v>103</v>
      </c>
      <c r="C201" s="23">
        <f t="shared" ref="C201:I201" si="147">C103/C$7</f>
        <v>5.5044524904589486E-3</v>
      </c>
      <c r="D201" s="23">
        <f t="shared" si="147"/>
        <v>6.3870266352600109E-3</v>
      </c>
      <c r="E201" s="23">
        <f t="shared" si="147"/>
        <v>5.9894978667541848E-3</v>
      </c>
      <c r="F201" s="23">
        <f t="shared" si="147"/>
        <v>5.0307307079444571E-3</v>
      </c>
      <c r="G201" s="23">
        <f t="shared" si="147"/>
        <v>7.2025929334560441E-3</v>
      </c>
      <c r="H201" s="23">
        <f t="shared" si="147"/>
        <v>9.7486549425841156E-3</v>
      </c>
      <c r="I201" s="23">
        <f t="shared" si="147"/>
        <v>8.5322761354822037E-3</v>
      </c>
      <c r="J201" s="34">
        <f>0.0085</f>
        <v>8.5000000000000006E-3</v>
      </c>
      <c r="K201" s="34">
        <f t="shared" ref="K201:N201" si="148">0.0085</f>
        <v>8.5000000000000006E-3</v>
      </c>
      <c r="L201" s="34">
        <f t="shared" si="148"/>
        <v>8.5000000000000006E-3</v>
      </c>
      <c r="M201" s="34">
        <f t="shared" si="148"/>
        <v>8.5000000000000006E-3</v>
      </c>
      <c r="N201" s="34">
        <f t="shared" si="148"/>
        <v>8.5000000000000006E-3</v>
      </c>
    </row>
    <row r="202" spans="2:14" x14ac:dyDescent="0.35">
      <c r="B202" s="10" t="s">
        <v>104</v>
      </c>
      <c r="C202" s="23">
        <f t="shared" ref="C202:I202" si="149">C104/C$7</f>
        <v>0.28995009296408653</v>
      </c>
      <c r="D202" s="23">
        <f t="shared" si="149"/>
        <v>0.29131183185359666</v>
      </c>
      <c r="E202" s="23">
        <f t="shared" si="149"/>
        <v>0.30437725631768953</v>
      </c>
      <c r="F202" s="23">
        <f t="shared" si="149"/>
        <v>0.33389483268836784</v>
      </c>
      <c r="G202" s="23">
        <f t="shared" si="149"/>
        <v>0.3348405425953343</v>
      </c>
      <c r="H202" s="23">
        <f t="shared" si="149"/>
        <v>0.32626676302898899</v>
      </c>
      <c r="I202" s="23">
        <f t="shared" si="149"/>
        <v>0.32220115487373957</v>
      </c>
      <c r="J202" s="34">
        <v>0.32</v>
      </c>
      <c r="K202" s="34">
        <v>0.32</v>
      </c>
      <c r="L202" s="34">
        <v>0.32</v>
      </c>
      <c r="M202" s="34">
        <v>0.32</v>
      </c>
      <c r="N202" s="34">
        <v>0.32</v>
      </c>
    </row>
    <row r="203" spans="2:14" x14ac:dyDescent="0.35">
      <c r="B203" s="10" t="s">
        <v>105</v>
      </c>
      <c r="C203" s="23">
        <f t="shared" ref="C203:I203" si="150">C105/C$7</f>
        <v>0.11818671102847637</v>
      </c>
      <c r="D203" s="23">
        <f t="shared" si="150"/>
        <v>0.10497825693060336</v>
      </c>
      <c r="E203" s="23">
        <f t="shared" si="150"/>
        <v>9.6837052838857893E-2</v>
      </c>
      <c r="F203" s="23">
        <f t="shared" si="150"/>
        <v>0.1003869792852265</v>
      </c>
      <c r="G203" s="23">
        <f t="shared" si="150"/>
        <v>0.12590532591733025</v>
      </c>
      <c r="H203" s="23">
        <f t="shared" si="150"/>
        <v>0.11065606681121015</v>
      </c>
      <c r="I203" s="23">
        <f t="shared" si="150"/>
        <v>7.9404751644689589E-2</v>
      </c>
      <c r="J203" s="23"/>
      <c r="K203" s="23"/>
      <c r="L203" s="23"/>
      <c r="M203" s="23"/>
      <c r="N203" s="23"/>
    </row>
    <row r="204" spans="2:14" x14ac:dyDescent="0.35">
      <c r="B204" s="10" t="s">
        <v>106</v>
      </c>
      <c r="C204" s="23">
        <f t="shared" ref="C204:I204" si="151">C106/C$7</f>
        <v>5.3601135140424701E-2</v>
      </c>
      <c r="D204" s="23">
        <f t="shared" si="151"/>
        <v>5.8366551911578184E-2</v>
      </c>
      <c r="E204" s="23">
        <f t="shared" si="151"/>
        <v>3.675746636035445E-2</v>
      </c>
      <c r="F204" s="23">
        <f t="shared" si="151"/>
        <v>4.4388800364215796E-2</v>
      </c>
      <c r="G204" s="23">
        <f t="shared" si="151"/>
        <v>4.4816133808170941E-2</v>
      </c>
      <c r="H204" s="23">
        <f t="shared" si="151"/>
        <v>6.5960009636232234E-2</v>
      </c>
      <c r="I204" s="23">
        <f t="shared" si="151"/>
        <v>4.3092303714556579E-2</v>
      </c>
      <c r="J204" s="34">
        <v>4.4999999999999998E-2</v>
      </c>
      <c r="K204" s="34">
        <v>4.4999999999999998E-2</v>
      </c>
      <c r="L204" s="34">
        <v>4.4999999999999998E-2</v>
      </c>
      <c r="M204" s="34">
        <v>4.4999999999999998E-2</v>
      </c>
      <c r="N204" s="34">
        <v>4.4999999999999998E-2</v>
      </c>
    </row>
    <row r="205" spans="2:14" x14ac:dyDescent="0.35">
      <c r="B205" s="10" t="s">
        <v>107</v>
      </c>
      <c r="C205" s="23">
        <f t="shared" ref="C205:I205" si="152">C107/C$7</f>
        <v>8.0731969860064589E-4</v>
      </c>
      <c r="D205" s="23">
        <f t="shared" si="152"/>
        <v>9.7390831672404424E-4</v>
      </c>
      <c r="E205" s="23">
        <f t="shared" si="152"/>
        <v>1.0338037413849688E-2</v>
      </c>
      <c r="F205" s="23">
        <f t="shared" si="152"/>
        <v>1.1381743683132255E-2</v>
      </c>
      <c r="G205" s="23">
        <f t="shared" si="152"/>
        <v>1.0483774158697131E-2</v>
      </c>
      <c r="H205" s="23">
        <f t="shared" si="152"/>
        <v>8.3835220428812342E-3</v>
      </c>
      <c r="I205" s="23">
        <f t="shared" si="152"/>
        <v>8.2162659082421208E-3</v>
      </c>
      <c r="J205" s="34">
        <v>8.0000000000000002E-3</v>
      </c>
      <c r="K205" s="34">
        <v>8.0000000000000002E-3</v>
      </c>
      <c r="L205" s="34">
        <v>8.0000000000000002E-3</v>
      </c>
      <c r="M205" s="34">
        <v>8.0000000000000002E-3</v>
      </c>
      <c r="N205" s="34">
        <v>8.0000000000000002E-3</v>
      </c>
    </row>
    <row r="206" spans="2:14" x14ac:dyDescent="0.35">
      <c r="B206" s="12" t="s">
        <v>108</v>
      </c>
      <c r="C206" s="23">
        <f t="shared" ref="C206:D206" si="153">C108/C$7</f>
        <v>8.0731969860064589E-4</v>
      </c>
      <c r="D206" s="23">
        <f t="shared" si="153"/>
        <v>9.7390831672404424E-4</v>
      </c>
      <c r="E206" s="23">
        <v>0</v>
      </c>
      <c r="F206" s="23">
        <v>0</v>
      </c>
      <c r="G206" s="23">
        <v>0</v>
      </c>
      <c r="H206" s="23">
        <v>0</v>
      </c>
      <c r="I206" s="23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</row>
    <row r="207" spans="2:14" x14ac:dyDescent="0.35">
      <c r="B207" s="10" t="s">
        <v>109</v>
      </c>
      <c r="C207" s="23">
        <f t="shared" ref="C207:I207" si="154">C109/C$7</f>
        <v>6.3778256189451016E-2</v>
      </c>
      <c r="D207" s="23">
        <f t="shared" si="154"/>
        <v>4.5637796702301142E-2</v>
      </c>
      <c r="E207" s="23">
        <f t="shared" si="154"/>
        <v>4.9741549064653758E-2</v>
      </c>
      <c r="F207" s="23">
        <f t="shared" si="154"/>
        <v>4.4616435237878442E-2</v>
      </c>
      <c r="G207" s="23">
        <f t="shared" si="154"/>
        <v>7.0605417950462171E-2</v>
      </c>
      <c r="H207" s="23">
        <f t="shared" si="154"/>
        <v>3.6312535132096681E-2</v>
      </c>
      <c r="I207" s="23">
        <f t="shared" si="154"/>
        <v>2.8096182021890889E-2</v>
      </c>
      <c r="J207" s="34">
        <v>0.03</v>
      </c>
      <c r="K207" s="34">
        <v>0.03</v>
      </c>
      <c r="L207" s="34">
        <v>0.03</v>
      </c>
      <c r="M207" s="34">
        <v>0.03</v>
      </c>
      <c r="N207" s="34">
        <v>0.03</v>
      </c>
    </row>
    <row r="208" spans="2:14" x14ac:dyDescent="0.35">
      <c r="B208" s="10" t="s">
        <v>110</v>
      </c>
      <c r="C208" s="23">
        <f t="shared" ref="C208:I208" si="155">C110/C$7</f>
        <v>0.1204374204912418</v>
      </c>
      <c r="D208" s="23">
        <f t="shared" si="155"/>
        <v>0.1139019749954702</v>
      </c>
      <c r="E208" s="23">
        <f t="shared" si="155"/>
        <v>0.10545208401706596</v>
      </c>
      <c r="F208" s="23">
        <f t="shared" si="155"/>
        <v>0.12048713862963806</v>
      </c>
      <c r="G208" s="23">
        <f t="shared" si="155"/>
        <v>0.13704933776159417</v>
      </c>
      <c r="H208" s="23">
        <f t="shared" si="155"/>
        <v>0.11830081104954629</v>
      </c>
      <c r="I208" s="23">
        <f t="shared" si="155"/>
        <v>0.11804418397540865</v>
      </c>
      <c r="J208" s="23"/>
      <c r="K208" s="23"/>
      <c r="L208" s="23"/>
      <c r="M208" s="23"/>
      <c r="N208" s="23"/>
    </row>
    <row r="209" spans="2:14" x14ac:dyDescent="0.35">
      <c r="B209" s="10" t="s">
        <v>111</v>
      </c>
      <c r="C209" s="23">
        <f t="shared" ref="C209:I209" si="156">C111/C$7</f>
        <v>0</v>
      </c>
      <c r="D209" s="23">
        <f t="shared" si="156"/>
        <v>0</v>
      </c>
      <c r="E209" s="23">
        <f t="shared" si="156"/>
        <v>0</v>
      </c>
      <c r="F209" s="23">
        <f t="shared" si="156"/>
        <v>0</v>
      </c>
      <c r="G209" s="23">
        <f t="shared" si="156"/>
        <v>0</v>
      </c>
      <c r="H209" s="23">
        <f t="shared" si="156"/>
        <v>0</v>
      </c>
      <c r="I209" s="23">
        <f t="shared" si="156"/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</row>
    <row r="210" spans="2:14" x14ac:dyDescent="0.35">
      <c r="B210" s="10" t="s">
        <v>112</v>
      </c>
      <c r="C210" s="23">
        <f t="shared" ref="C210:I210" si="157">C112/C$7</f>
        <v>2.7889225951658676E-3</v>
      </c>
      <c r="D210" s="23">
        <f t="shared" si="157"/>
        <v>1.7213263272331943E-3</v>
      </c>
      <c r="E210" s="23">
        <f t="shared" si="157"/>
        <v>8.1842796192976696E-3</v>
      </c>
      <c r="F210" s="23">
        <f t="shared" si="157"/>
        <v>7.2615524698383793E-3</v>
      </c>
      <c r="G210" s="23">
        <f t="shared" si="157"/>
        <v>1.0263694930174863E-2</v>
      </c>
      <c r="H210" s="23">
        <f t="shared" si="157"/>
        <v>7.0665703043443348E-3</v>
      </c>
      <c r="I210" s="23">
        <f t="shared" si="157"/>
        <v>6.8373121893763105E-3</v>
      </c>
      <c r="J210" s="34">
        <f>0.005</f>
        <v>5.0000000000000001E-3</v>
      </c>
      <c r="K210" s="34">
        <f t="shared" ref="K210:N210" si="158">0.005</f>
        <v>5.0000000000000001E-3</v>
      </c>
      <c r="L210" s="34">
        <f t="shared" si="158"/>
        <v>5.0000000000000001E-3</v>
      </c>
      <c r="M210" s="34">
        <f t="shared" si="158"/>
        <v>5.0000000000000001E-3</v>
      </c>
      <c r="N210" s="34">
        <f t="shared" si="158"/>
        <v>5.0000000000000001E-3</v>
      </c>
    </row>
    <row r="211" spans="2:14" x14ac:dyDescent="0.35">
      <c r="B211" s="10" t="s">
        <v>113</v>
      </c>
      <c r="C211" s="23">
        <f t="shared" ref="C211:I211" si="159">C113/C$7</f>
        <v>0.11764849789607594</v>
      </c>
      <c r="D211" s="23">
        <f t="shared" si="159"/>
        <v>0.112180648668237</v>
      </c>
      <c r="E211" s="23">
        <f t="shared" si="159"/>
        <v>9.726780439776829E-2</v>
      </c>
      <c r="F211" s="23">
        <f t="shared" si="159"/>
        <v>0.11322558615979968</v>
      </c>
      <c r="G211" s="23">
        <f t="shared" si="159"/>
        <v>0.1267856428314193</v>
      </c>
      <c r="H211" s="23">
        <f t="shared" si="159"/>
        <v>0.11123424074520195</v>
      </c>
      <c r="I211" s="23">
        <f t="shared" si="159"/>
        <v>0.11120687178603235</v>
      </c>
      <c r="J211" s="34">
        <f>0.11</f>
        <v>0.11</v>
      </c>
      <c r="K211" s="34">
        <f t="shared" ref="K211:N211" si="160">0.11</f>
        <v>0.11</v>
      </c>
      <c r="L211" s="34">
        <f t="shared" si="160"/>
        <v>0.11</v>
      </c>
      <c r="M211" s="34">
        <f t="shared" si="160"/>
        <v>0.11</v>
      </c>
      <c r="N211" s="34">
        <f t="shared" si="160"/>
        <v>0.11</v>
      </c>
    </row>
    <row r="212" spans="2:14" x14ac:dyDescent="0.35">
      <c r="B212" s="8" t="s">
        <v>114</v>
      </c>
      <c r="C212" s="23">
        <f t="shared" ref="C212:I212" si="161">C114/C$7</f>
        <v>0.73463646149329676</v>
      </c>
      <c r="D212" s="23">
        <f t="shared" si="161"/>
        <v>0.70320710273600295</v>
      </c>
      <c r="E212" s="23">
        <f t="shared" si="161"/>
        <v>0.6872948802100427</v>
      </c>
      <c r="F212" s="23">
        <f t="shared" si="161"/>
        <v>0.76184839517414071</v>
      </c>
      <c r="G212" s="23">
        <f t="shared" si="161"/>
        <v>0.84562442479292543</v>
      </c>
      <c r="H212" s="23">
        <f t="shared" si="161"/>
        <v>0.77517064161246285</v>
      </c>
      <c r="I212" s="23">
        <f t="shared" si="161"/>
        <v>0.72313194863397401</v>
      </c>
      <c r="J212" s="31"/>
      <c r="K212" s="31"/>
      <c r="L212" s="31"/>
      <c r="M212" s="31"/>
      <c r="N212" s="31"/>
    </row>
    <row r="213" spans="2:14" x14ac:dyDescent="0.35">
      <c r="B213" s="10" t="s">
        <v>115</v>
      </c>
      <c r="C213" s="23">
        <f t="shared" ref="C213:I213" si="162">C115/C$7</f>
        <v>0.40713377042763482</v>
      </c>
      <c r="D213" s="23">
        <f t="shared" si="162"/>
        <v>0.44417013951802864</v>
      </c>
      <c r="E213" s="23">
        <f t="shared" si="162"/>
        <v>0.56885871348867734</v>
      </c>
      <c r="F213" s="23">
        <f t="shared" si="162"/>
        <v>0.63944912360573636</v>
      </c>
      <c r="G213" s="23">
        <f t="shared" si="162"/>
        <v>0.53105117842423277</v>
      </c>
      <c r="H213" s="23">
        <f t="shared" si="162"/>
        <v>0.40488235766481973</v>
      </c>
      <c r="I213" s="23">
        <f t="shared" si="162"/>
        <v>0.39512769686000748</v>
      </c>
      <c r="J213" s="23"/>
      <c r="K213" s="23"/>
      <c r="L213" s="23"/>
      <c r="M213" s="23"/>
      <c r="N213" s="23"/>
    </row>
    <row r="214" spans="2:14" x14ac:dyDescent="0.35">
      <c r="B214" s="10" t="s">
        <v>116</v>
      </c>
      <c r="C214" s="23">
        <f t="shared" ref="C214:I214" si="163">C116/C$7</f>
        <v>0.4047607397984147</v>
      </c>
      <c r="D214" s="23">
        <f t="shared" si="163"/>
        <v>0.44138430875158541</v>
      </c>
      <c r="E214" s="23">
        <f t="shared" si="163"/>
        <v>0.5410034460124713</v>
      </c>
      <c r="F214" s="23">
        <f t="shared" si="163"/>
        <v>0.60742089688140222</v>
      </c>
      <c r="G214" s="23">
        <f t="shared" si="163"/>
        <v>0.49955984154295546</v>
      </c>
      <c r="H214" s="23">
        <f t="shared" si="163"/>
        <v>0.37950694611740143</v>
      </c>
      <c r="I214" s="23">
        <f t="shared" si="163"/>
        <v>0.3710678272860467</v>
      </c>
      <c r="J214" s="23"/>
      <c r="K214" s="23"/>
      <c r="L214" s="23"/>
      <c r="M214" s="23"/>
      <c r="N214" s="23"/>
    </row>
    <row r="215" spans="2:14" x14ac:dyDescent="0.35">
      <c r="B215" s="10" t="s">
        <v>117</v>
      </c>
      <c r="C215" s="23">
        <f t="shared" ref="C215:I215" si="164">C117/C$7</f>
        <v>2.3730306292200801E-3</v>
      </c>
      <c r="D215" s="23">
        <f t="shared" si="164"/>
        <v>2.7858307664431962E-3</v>
      </c>
      <c r="E215" s="23">
        <f t="shared" si="164"/>
        <v>2.7855267476206105E-2</v>
      </c>
      <c r="F215" s="23">
        <f t="shared" si="164"/>
        <v>3.2028226724334169E-2</v>
      </c>
      <c r="G215" s="23">
        <f t="shared" si="164"/>
        <v>3.1491336881277261E-2</v>
      </c>
      <c r="H215" s="23">
        <f t="shared" si="164"/>
        <v>2.5375411547418292E-2</v>
      </c>
      <c r="I215" s="23">
        <f t="shared" si="164"/>
        <v>2.4059869573960758E-2</v>
      </c>
      <c r="J215" s="34">
        <v>2.4E-2</v>
      </c>
      <c r="K215" s="34">
        <v>2.4E-2</v>
      </c>
      <c r="L215" s="34">
        <v>2.4E-2</v>
      </c>
      <c r="M215" s="34">
        <v>2.4E-2</v>
      </c>
      <c r="N215" s="34">
        <v>2.4E-2</v>
      </c>
    </row>
    <row r="216" spans="2:14" x14ac:dyDescent="0.35">
      <c r="B216" s="12" t="s">
        <v>118</v>
      </c>
      <c r="C216" s="23">
        <f t="shared" ref="C216:D216" si="165">C118/C$7</f>
        <v>2.3730306292200801E-3</v>
      </c>
      <c r="D216" s="23">
        <f t="shared" si="165"/>
        <v>2.7858307664431962E-3</v>
      </c>
      <c r="E216" s="23">
        <v>0</v>
      </c>
      <c r="F216" s="23">
        <v>0</v>
      </c>
      <c r="G216" s="23">
        <v>0</v>
      </c>
      <c r="H216" s="23">
        <v>0</v>
      </c>
      <c r="I216" s="23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2:14" x14ac:dyDescent="0.35">
      <c r="B217" s="10" t="s">
        <v>119</v>
      </c>
      <c r="C217" s="23">
        <f t="shared" ref="C217:I217" si="166">C119/C$7</f>
        <v>0.11618064389862022</v>
      </c>
      <c r="D217" s="23">
        <f t="shared" si="166"/>
        <v>0.11052726943286827</v>
      </c>
      <c r="E217" s="23">
        <f t="shared" si="166"/>
        <v>0.14106087955365934</v>
      </c>
      <c r="F217" s="23">
        <f t="shared" si="166"/>
        <v>0.1464375142271796</v>
      </c>
      <c r="G217" s="23">
        <f t="shared" si="166"/>
        <v>0.14475211075987354</v>
      </c>
      <c r="H217" s="23">
        <f t="shared" si="166"/>
        <v>0.14624588452581708</v>
      </c>
      <c r="I217" s="23">
        <f t="shared" si="166"/>
        <v>0.12447930133011577</v>
      </c>
      <c r="J217" s="23"/>
      <c r="K217" s="23"/>
      <c r="L217" s="23"/>
      <c r="M217" s="23"/>
      <c r="N217" s="23"/>
    </row>
    <row r="218" spans="2:14" x14ac:dyDescent="0.35">
      <c r="B218" s="10" t="s">
        <v>120</v>
      </c>
      <c r="C218" s="23">
        <f t="shared" ref="C218:I218" si="167">C120/C$7</f>
        <v>0</v>
      </c>
      <c r="D218" s="23">
        <f t="shared" si="167"/>
        <v>0</v>
      </c>
      <c r="E218" s="23">
        <f t="shared" si="167"/>
        <v>0</v>
      </c>
      <c r="F218" s="23">
        <f t="shared" si="167"/>
        <v>0</v>
      </c>
      <c r="G218" s="23">
        <f t="shared" si="167"/>
        <v>0</v>
      </c>
      <c r="H218" s="23">
        <f t="shared" si="167"/>
        <v>0</v>
      </c>
      <c r="I218" s="23">
        <f t="shared" si="167"/>
        <v>0</v>
      </c>
      <c r="J218" s="34">
        <v>0</v>
      </c>
      <c r="K218" s="34">
        <v>0</v>
      </c>
      <c r="L218" s="34">
        <v>0</v>
      </c>
      <c r="M218" s="34">
        <v>0</v>
      </c>
      <c r="N218" s="34">
        <v>0</v>
      </c>
    </row>
    <row r="219" spans="2:14" x14ac:dyDescent="0.35">
      <c r="B219" s="10" t="s">
        <v>121</v>
      </c>
      <c r="C219" s="23">
        <f t="shared" ref="C219:I219" si="168">C121/C$7</f>
        <v>3.6231529503865351E-2</v>
      </c>
      <c r="D219" s="23">
        <f t="shared" si="168"/>
        <v>3.4403877514042398E-2</v>
      </c>
      <c r="E219" s="23">
        <f t="shared" si="168"/>
        <v>3.9198391860846733E-2</v>
      </c>
      <c r="F219" s="23">
        <f t="shared" si="168"/>
        <v>3.4941953107216026E-2</v>
      </c>
      <c r="G219" s="23">
        <f t="shared" si="168"/>
        <v>2.9190508583089914E-2</v>
      </c>
      <c r="H219" s="23">
        <f t="shared" si="168"/>
        <v>1.845338472657191E-2</v>
      </c>
      <c r="I219" s="23">
        <f t="shared" si="168"/>
        <v>1.689218305610618E-2</v>
      </c>
      <c r="J219" s="34">
        <v>1.7000000000000001E-2</v>
      </c>
      <c r="K219" s="34">
        <v>1.7000000000000001E-2</v>
      </c>
      <c r="L219" s="34">
        <v>1.7000000000000001E-2</v>
      </c>
      <c r="M219" s="34">
        <v>1.7000000000000001E-2</v>
      </c>
      <c r="N219" s="34">
        <v>1.7000000000000001E-2</v>
      </c>
    </row>
    <row r="220" spans="2:14" x14ac:dyDescent="0.35">
      <c r="B220" s="10" t="s">
        <v>111</v>
      </c>
      <c r="C220" s="23">
        <f t="shared" ref="C220:I220" si="169">C122/C$7</f>
        <v>0</v>
      </c>
      <c r="D220" s="23">
        <f t="shared" si="169"/>
        <v>0</v>
      </c>
      <c r="E220" s="23">
        <f t="shared" si="169"/>
        <v>0</v>
      </c>
      <c r="F220" s="23">
        <f t="shared" si="169"/>
        <v>0</v>
      </c>
      <c r="G220" s="23">
        <f t="shared" si="169"/>
        <v>0</v>
      </c>
      <c r="H220" s="23">
        <f t="shared" si="169"/>
        <v>0</v>
      </c>
      <c r="I220" s="23">
        <f t="shared" si="169"/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</row>
    <row r="221" spans="2:14" x14ac:dyDescent="0.35">
      <c r="B221" s="10" t="s">
        <v>122</v>
      </c>
      <c r="C221" s="23">
        <f t="shared" ref="C221:I221" si="170">C123/C$7</f>
        <v>4.2445444759761232E-2</v>
      </c>
      <c r="D221" s="23">
        <f t="shared" si="170"/>
        <v>3.7959775321616235E-2</v>
      </c>
      <c r="E221" s="23">
        <f t="shared" si="170"/>
        <v>5.5402855267476209E-2</v>
      </c>
      <c r="F221" s="23">
        <f t="shared" si="170"/>
        <v>6.0437058957432281E-2</v>
      </c>
      <c r="G221" s="23">
        <f t="shared" si="170"/>
        <v>6.4523228362210402E-2</v>
      </c>
      <c r="H221" s="23">
        <f t="shared" si="170"/>
        <v>6.6843330924275274E-2</v>
      </c>
      <c r="I221" s="23">
        <f t="shared" si="170"/>
        <v>5.7887327989887674E-2</v>
      </c>
      <c r="J221" s="34">
        <v>5.8000000000000003E-2</v>
      </c>
      <c r="K221" s="34">
        <v>5.8000000000000003E-2</v>
      </c>
      <c r="L221" s="34">
        <v>5.8000000000000003E-2</v>
      </c>
      <c r="M221" s="34">
        <v>5.8000000000000003E-2</v>
      </c>
      <c r="N221" s="34">
        <v>5.8000000000000003E-2</v>
      </c>
    </row>
    <row r="222" spans="2:14" x14ac:dyDescent="0.35">
      <c r="B222" s="10" t="s">
        <v>112</v>
      </c>
      <c r="C222" s="23">
        <f t="shared" ref="C222:I222" si="171">C124/C$7</f>
        <v>7.0456991877874547E-3</v>
      </c>
      <c r="D222" s="23">
        <f t="shared" si="171"/>
        <v>4.6657003080268168E-3</v>
      </c>
      <c r="E222" s="23">
        <f t="shared" si="171"/>
        <v>9.7021660649819503E-3</v>
      </c>
      <c r="F222" s="23">
        <f t="shared" si="171"/>
        <v>9.8793535169587974E-3</v>
      </c>
      <c r="G222" s="23">
        <f t="shared" si="171"/>
        <v>8.4430394942179177E-3</v>
      </c>
      <c r="H222" s="23">
        <f t="shared" si="171"/>
        <v>3.1141090500281056E-2</v>
      </c>
      <c r="I222" s="23">
        <f t="shared" si="171"/>
        <v>1.8055675256399208E-2</v>
      </c>
      <c r="J222" s="34">
        <v>1.4999999999999999E-2</v>
      </c>
      <c r="K222" s="34">
        <v>1.4999999999999999E-2</v>
      </c>
      <c r="L222" s="34">
        <v>1.4999999999999999E-2</v>
      </c>
      <c r="M222" s="34">
        <v>1.4999999999999999E-2</v>
      </c>
      <c r="N222" s="34">
        <v>1.4999999999999999E-2</v>
      </c>
    </row>
    <row r="223" spans="2:14" x14ac:dyDescent="0.35">
      <c r="B223" s="10" t="s">
        <v>123</v>
      </c>
      <c r="C223" s="23">
        <f t="shared" ref="C223:I223" si="172">C125/C$7</f>
        <v>3.0457970447206186E-2</v>
      </c>
      <c r="D223" s="23">
        <f t="shared" si="172"/>
        <v>3.3497916289182826E-2</v>
      </c>
      <c r="E223" s="23">
        <f t="shared" si="172"/>
        <v>3.675746636035445E-2</v>
      </c>
      <c r="F223" s="23">
        <f t="shared" si="172"/>
        <v>4.1179148645572504E-2</v>
      </c>
      <c r="G223" s="23">
        <f t="shared" si="172"/>
        <v>4.2595334320355331E-2</v>
      </c>
      <c r="H223" s="23">
        <f t="shared" si="172"/>
        <v>2.980807837468883E-2</v>
      </c>
      <c r="I223" s="23">
        <f t="shared" si="172"/>
        <v>3.1644115027722713E-2</v>
      </c>
      <c r="J223" s="34">
        <v>0.03</v>
      </c>
      <c r="K223" s="34">
        <v>0.03</v>
      </c>
      <c r="L223" s="34">
        <v>0.03</v>
      </c>
      <c r="M223" s="34">
        <v>0.03</v>
      </c>
      <c r="N223" s="34">
        <v>0.03</v>
      </c>
    </row>
    <row r="224" spans="2:14" x14ac:dyDescent="0.35">
      <c r="B224" s="8" t="s">
        <v>124</v>
      </c>
      <c r="C224" s="23">
        <f t="shared" ref="C224:I224" si="173">C126/C$7</f>
        <v>0.52331441432625503</v>
      </c>
      <c r="D224" s="23">
        <f t="shared" si="173"/>
        <v>0.55469740895089692</v>
      </c>
      <c r="E224" s="23">
        <f t="shared" si="173"/>
        <v>0.70991959304233676</v>
      </c>
      <c r="F224" s="23">
        <f t="shared" si="173"/>
        <v>0.78588663783291601</v>
      </c>
      <c r="G224" s="23">
        <f t="shared" si="173"/>
        <v>0.67580328918410626</v>
      </c>
      <c r="H224" s="23">
        <f t="shared" si="173"/>
        <v>0.55112824219063683</v>
      </c>
      <c r="I224" s="23">
        <f t="shared" si="173"/>
        <v>0.51960699819012324</v>
      </c>
      <c r="J224" s="31"/>
      <c r="K224" s="31"/>
      <c r="L224" s="31"/>
      <c r="M224" s="31"/>
      <c r="N224" s="31"/>
    </row>
    <row r="225" spans="1:14" x14ac:dyDescent="0.35">
      <c r="B225" s="8" t="s">
        <v>125</v>
      </c>
      <c r="C225" s="23">
        <f t="shared" ref="C225:I225" si="174">C127/C$7</f>
        <v>1.2579508758195519</v>
      </c>
      <c r="D225" s="23">
        <f t="shared" si="174"/>
        <v>1.2579045116868999</v>
      </c>
      <c r="E225" s="23">
        <f t="shared" si="174"/>
        <v>1.3972144732523795</v>
      </c>
      <c r="F225" s="23">
        <f t="shared" si="174"/>
        <v>1.5477350330070567</v>
      </c>
      <c r="G225" s="23">
        <f t="shared" si="174"/>
        <v>1.5214277139770318</v>
      </c>
      <c r="H225" s="23">
        <f t="shared" si="174"/>
        <v>1.3262988838030996</v>
      </c>
      <c r="I225" s="23">
        <f t="shared" si="174"/>
        <v>1.2427389468240972</v>
      </c>
      <c r="J225" s="31"/>
      <c r="K225" s="31"/>
      <c r="L225" s="31"/>
      <c r="M225" s="31"/>
      <c r="N225" s="31"/>
    </row>
    <row r="226" spans="1:14" x14ac:dyDescent="0.35">
      <c r="B226" s="10" t="s">
        <v>126</v>
      </c>
      <c r="C226" s="23">
        <f t="shared" ref="C226:I226" si="175">C128/C$7</f>
        <v>0</v>
      </c>
      <c r="D226" s="23">
        <f t="shared" si="175"/>
        <v>0</v>
      </c>
      <c r="E226" s="23">
        <f t="shared" si="175"/>
        <v>0</v>
      </c>
      <c r="F226" s="23">
        <f t="shared" si="175"/>
        <v>0</v>
      </c>
      <c r="G226" s="23">
        <f t="shared" si="175"/>
        <v>0</v>
      </c>
      <c r="H226" s="23">
        <f t="shared" si="175"/>
        <v>0</v>
      </c>
      <c r="I226" s="23">
        <f t="shared" si="175"/>
        <v>0</v>
      </c>
      <c r="J226" s="23"/>
      <c r="K226" s="23"/>
      <c r="L226" s="23"/>
      <c r="M226" s="23"/>
      <c r="N226" s="23"/>
    </row>
    <row r="227" spans="1:14" x14ac:dyDescent="0.35">
      <c r="B227" s="10" t="s">
        <v>127</v>
      </c>
      <c r="C227" s="23">
        <f t="shared" ref="C227:I227" si="176">C129/C$7</f>
        <v>0.27801154711811332</v>
      </c>
      <c r="D227" s="23">
        <f t="shared" si="176"/>
        <v>0.2680059793440841</v>
      </c>
      <c r="E227" s="23">
        <f t="shared" si="176"/>
        <v>0.25418444371512966</v>
      </c>
      <c r="F227" s="23">
        <f t="shared" si="176"/>
        <v>0.29587980878670611</v>
      </c>
      <c r="G227" s="23">
        <f t="shared" si="176"/>
        <v>0.27455884118282581</v>
      </c>
      <c r="H227" s="23">
        <f t="shared" si="176"/>
        <v>0.22792901308921545</v>
      </c>
      <c r="I227" s="23">
        <f t="shared" si="176"/>
        <v>0.21373782642420064</v>
      </c>
      <c r="J227" s="23"/>
      <c r="K227" s="23"/>
      <c r="L227" s="23"/>
      <c r="M227" s="23"/>
      <c r="N227" s="23"/>
    </row>
    <row r="228" spans="1:14" x14ac:dyDescent="0.35">
      <c r="B228" s="10" t="s">
        <v>128</v>
      </c>
      <c r="C228" s="23">
        <f t="shared" ref="C228:I228" si="177">C130/C$7</f>
        <v>3.615813680399256E-2</v>
      </c>
      <c r="D228" s="23">
        <f t="shared" si="177"/>
        <v>3.3837651748505164E-2</v>
      </c>
      <c r="E228" s="23">
        <f t="shared" si="177"/>
        <v>3.1034624220544798E-2</v>
      </c>
      <c r="F228" s="23">
        <f t="shared" si="177"/>
        <v>3.3485089915775097E-2</v>
      </c>
      <c r="G228" s="23">
        <f t="shared" si="177"/>
        <v>2.9630667040134447E-2</v>
      </c>
      <c r="H228" s="23">
        <f t="shared" si="177"/>
        <v>2.3656950132498192E-2</v>
      </c>
      <c r="I228" s="23">
        <f t="shared" si="177"/>
        <v>2.115832112384728E-2</v>
      </c>
      <c r="J228" s="23"/>
      <c r="K228" s="23"/>
      <c r="L228" s="23"/>
      <c r="M228" s="23"/>
      <c r="N228" s="23"/>
    </row>
    <row r="229" spans="1:14" x14ac:dyDescent="0.35">
      <c r="B229" s="10" t="s">
        <v>129</v>
      </c>
      <c r="C229" s="23">
        <f t="shared" ref="C229:I229" si="178">C131/C$7</f>
        <v>0.24185341031412075</v>
      </c>
      <c r="D229" s="23">
        <f t="shared" si="178"/>
        <v>0.2341683275955789</v>
      </c>
      <c r="E229" s="23">
        <f t="shared" si="178"/>
        <v>0.22314981949458484</v>
      </c>
      <c r="F229" s="23">
        <f t="shared" si="178"/>
        <v>0.26239471887093102</v>
      </c>
      <c r="G229" s="23">
        <f t="shared" si="178"/>
        <v>0.24492817414269136</v>
      </c>
      <c r="H229" s="23">
        <f t="shared" si="178"/>
        <v>0.20427206295671727</v>
      </c>
      <c r="I229" s="23">
        <f t="shared" si="178"/>
        <v>0.19257950530035337</v>
      </c>
      <c r="J229" s="23"/>
      <c r="K229" s="23"/>
      <c r="L229" s="23"/>
      <c r="M229" s="23"/>
      <c r="N229" s="23"/>
    </row>
    <row r="230" spans="1:14" x14ac:dyDescent="0.35">
      <c r="B230" s="10" t="s">
        <v>130</v>
      </c>
      <c r="C230" s="23">
        <f t="shared" ref="C230:I230" si="179">C132/C$7</f>
        <v>4.2836872492416085E-2</v>
      </c>
      <c r="D230" s="23">
        <f t="shared" si="179"/>
        <v>5.2613698133719876E-2</v>
      </c>
      <c r="E230" s="23">
        <f t="shared" si="179"/>
        <v>6.3238431243846413E-2</v>
      </c>
      <c r="F230" s="23">
        <f t="shared" si="179"/>
        <v>4.8053721830184387E-2</v>
      </c>
      <c r="G230" s="23">
        <f t="shared" si="179"/>
        <v>3.9474210715857709E-2</v>
      </c>
      <c r="H230" s="23">
        <f t="shared" si="179"/>
        <v>3.3534088171524937E-2</v>
      </c>
      <c r="I230" s="23">
        <f t="shared" si="179"/>
        <v>2.0382659656985262E-2</v>
      </c>
      <c r="J230" s="23"/>
      <c r="K230" s="23"/>
      <c r="L230" s="23"/>
      <c r="M230" s="23"/>
      <c r="N230" s="23"/>
    </row>
    <row r="231" spans="1:14" x14ac:dyDescent="0.35">
      <c r="B231" s="10" t="s">
        <v>131</v>
      </c>
      <c r="C231" s="23">
        <f t="shared" ref="C231:I231" si="180">C133/C$7</f>
        <v>6.720324885018103E-2</v>
      </c>
      <c r="D231" s="23">
        <f t="shared" si="180"/>
        <v>6.7562058343902887E-2</v>
      </c>
      <c r="E231" s="23">
        <f t="shared" si="180"/>
        <v>6.6869051526091239E-2</v>
      </c>
      <c r="F231" s="23">
        <f t="shared" si="180"/>
        <v>2.8272251308900525E-2</v>
      </c>
      <c r="G231" s="23">
        <f t="shared" si="180"/>
        <v>5.1958705133848183E-2</v>
      </c>
      <c r="H231" s="23">
        <f t="shared" si="180"/>
        <v>6.8401188468642099E-2</v>
      </c>
      <c r="I231" s="23">
        <f t="shared" si="180"/>
        <v>6.7540004021948347E-2</v>
      </c>
      <c r="J231" s="23"/>
      <c r="K231" s="23"/>
      <c r="L231" s="23"/>
      <c r="M231" s="23"/>
      <c r="N231" s="23"/>
    </row>
    <row r="232" spans="1:14" x14ac:dyDescent="0.35">
      <c r="B232" s="10" t="s">
        <v>132</v>
      </c>
      <c r="C232" s="23">
        <f t="shared" ref="C232:I232" si="181">C134/C$7</f>
        <v>0.13335453566885214</v>
      </c>
      <c r="D232" s="23">
        <f t="shared" si="181"/>
        <v>0.15156731291900707</v>
      </c>
      <c r="E232" s="23">
        <f t="shared" si="181"/>
        <v>0.16140876271742699</v>
      </c>
      <c r="F232" s="23">
        <f t="shared" si="181"/>
        <v>0.20218529478716138</v>
      </c>
      <c r="G232" s="23">
        <f t="shared" si="181"/>
        <v>0.17078148133327997</v>
      </c>
      <c r="H232" s="23">
        <f t="shared" si="181"/>
        <v>0.15379426644182126</v>
      </c>
      <c r="I232" s="23">
        <f t="shared" si="181"/>
        <v>0.142922807319946</v>
      </c>
      <c r="J232" s="23"/>
      <c r="K232" s="23"/>
      <c r="L232" s="23"/>
      <c r="M232" s="23"/>
      <c r="N232" s="23"/>
    </row>
    <row r="233" spans="1:14" x14ac:dyDescent="0.35">
      <c r="B233" s="8" t="s">
        <v>133</v>
      </c>
      <c r="C233" s="23">
        <f t="shared" ref="C233:I233" si="182">C135/C$7</f>
        <v>0.43573245914473041</v>
      </c>
      <c r="D233" s="23">
        <f t="shared" si="182"/>
        <v>0.43452165247327412</v>
      </c>
      <c r="E233" s="23">
        <f t="shared" si="182"/>
        <v>0.41922382671480146</v>
      </c>
      <c r="F233" s="23">
        <f t="shared" si="182"/>
        <v>0.47828363305258365</v>
      </c>
      <c r="G233" s="23">
        <f t="shared" si="182"/>
        <v>0.45782481693409627</v>
      </c>
      <c r="H233" s="23">
        <f t="shared" si="182"/>
        <v>0.41659037982815383</v>
      </c>
      <c r="I233" s="23">
        <f t="shared" si="182"/>
        <v>0.40381797810910969</v>
      </c>
      <c r="J233" s="31"/>
      <c r="K233" s="31"/>
      <c r="L233" s="31"/>
      <c r="M233" s="31"/>
      <c r="N233" s="31"/>
    </row>
    <row r="234" spans="1:14" x14ac:dyDescent="0.35">
      <c r="B234" s="10" t="s">
        <v>134</v>
      </c>
      <c r="C234" s="23">
        <f t="shared" ref="C234:I234" si="183">C136/C$7</f>
        <v>1.3993541442411194E-2</v>
      </c>
      <c r="D234" s="23">
        <f t="shared" si="183"/>
        <v>1.4336836383402791E-2</v>
      </c>
      <c r="E234" s="23">
        <f t="shared" si="183"/>
        <v>5.3413193304890055E-2</v>
      </c>
      <c r="F234" s="23">
        <f t="shared" si="183"/>
        <v>4.9214659685863874E-2</v>
      </c>
      <c r="G234" s="23">
        <f t="shared" si="183"/>
        <v>3.7793605698051298E-2</v>
      </c>
      <c r="H234" s="23">
        <f t="shared" si="183"/>
        <v>5.5729543081988277E-2</v>
      </c>
      <c r="I234" s="23">
        <f t="shared" si="183"/>
        <v>5.6422189663592748E-2</v>
      </c>
      <c r="J234" s="23"/>
      <c r="K234" s="23"/>
      <c r="L234" s="23"/>
      <c r="M234" s="23"/>
      <c r="N234" s="23"/>
    </row>
    <row r="235" spans="1:14" x14ac:dyDescent="0.35">
      <c r="B235" s="8" t="s">
        <v>135</v>
      </c>
      <c r="C235" s="23">
        <f t="shared" ref="C235:I235" si="184">C137/C$7</f>
        <v>0.44972600058714157</v>
      </c>
      <c r="D235" s="23">
        <f t="shared" si="184"/>
        <v>0.44885848885667695</v>
      </c>
      <c r="E235" s="23">
        <f t="shared" si="184"/>
        <v>0.47263702001969149</v>
      </c>
      <c r="F235" s="23">
        <f t="shared" si="184"/>
        <v>0.52749829273844751</v>
      </c>
      <c r="G235" s="23">
        <f t="shared" si="184"/>
        <v>0.49561842263214756</v>
      </c>
      <c r="H235" s="23">
        <f t="shared" si="184"/>
        <v>0.47231992291014213</v>
      </c>
      <c r="I235" s="23">
        <f t="shared" si="184"/>
        <v>0.46024016777270244</v>
      </c>
      <c r="J235" s="47" t="s">
        <v>189</v>
      </c>
      <c r="K235" s="47" t="s">
        <v>189</v>
      </c>
      <c r="L235" s="47" t="s">
        <v>189</v>
      </c>
      <c r="M235" s="47" t="s">
        <v>189</v>
      </c>
      <c r="N235" s="47" t="s">
        <v>189</v>
      </c>
    </row>
    <row r="236" spans="1:14" x14ac:dyDescent="0.35">
      <c r="B236" s="8" t="s">
        <v>136</v>
      </c>
      <c r="C236" s="23">
        <f t="shared" ref="C236:I236" si="185">C138/C$7</f>
        <v>1.7076768764066934</v>
      </c>
      <c r="D236" s="23">
        <f t="shared" si="185"/>
        <v>1.7067630005435768</v>
      </c>
      <c r="E236" s="23">
        <f t="shared" si="185"/>
        <v>1.8698514932720709</v>
      </c>
      <c r="F236" s="23">
        <f t="shared" si="185"/>
        <v>2.0752333257455042</v>
      </c>
      <c r="G236" s="23">
        <f t="shared" si="185"/>
        <v>2.0170461366091792</v>
      </c>
      <c r="H236" s="23">
        <f t="shared" si="185"/>
        <v>1.7986188067132418</v>
      </c>
      <c r="I236" s="23">
        <f t="shared" si="185"/>
        <v>1.7029791145967996</v>
      </c>
      <c r="J236" s="9"/>
      <c r="K236" s="9"/>
      <c r="L236" s="9"/>
      <c r="M236" s="9"/>
      <c r="N236" s="9"/>
    </row>
    <row r="240" spans="1:14" x14ac:dyDescent="0.35">
      <c r="A240" t="s">
        <v>68</v>
      </c>
      <c r="B240" s="55" t="s">
        <v>169</v>
      </c>
      <c r="C240" s="54" t="s">
        <v>2</v>
      </c>
      <c r="D240" s="5" t="s">
        <v>3</v>
      </c>
      <c r="E240" s="5" t="s">
        <v>4</v>
      </c>
      <c r="F240" s="5" t="s">
        <v>5</v>
      </c>
      <c r="G240" s="5" t="s">
        <v>6</v>
      </c>
      <c r="H240" s="5" t="s">
        <v>7</v>
      </c>
      <c r="I240" s="5" t="s">
        <v>8</v>
      </c>
      <c r="J240" s="5" t="s">
        <v>9</v>
      </c>
      <c r="K240" s="5" t="s">
        <v>10</v>
      </c>
      <c r="L240" s="5" t="s">
        <v>66</v>
      </c>
      <c r="M240" s="5" t="s">
        <v>67</v>
      </c>
      <c r="N240" s="5" t="s">
        <v>67</v>
      </c>
    </row>
    <row r="241" spans="1:14" x14ac:dyDescent="0.35">
      <c r="B241" s="10" t="s">
        <v>181</v>
      </c>
      <c r="C241" s="23"/>
      <c r="D241" s="44">
        <f>D247-C247</f>
        <v>1458</v>
      </c>
      <c r="E241" s="44">
        <f t="shared" ref="E241:I241" si="186">E247-D247</f>
        <v>6123</v>
      </c>
      <c r="F241" s="44">
        <f t="shared" si="186"/>
        <v>734</v>
      </c>
      <c r="G241" s="44">
        <f t="shared" si="186"/>
        <v>2202</v>
      </c>
      <c r="H241" s="44">
        <f t="shared" si="186"/>
        <v>1364</v>
      </c>
      <c r="I241" s="44">
        <f t="shared" si="186"/>
        <v>3207</v>
      </c>
      <c r="J241" s="44">
        <f>J243*J242</f>
        <v>3240.7820999999999</v>
      </c>
      <c r="K241" s="44">
        <f t="shared" ref="K241:M241" si="187">K243*K242</f>
        <v>3372.4330650000002</v>
      </c>
      <c r="L241" s="44">
        <f t="shared" si="187"/>
        <v>3514.5925371900003</v>
      </c>
      <c r="M241" s="44">
        <f t="shared" si="187"/>
        <v>3663.4856849954999</v>
      </c>
      <c r="N241" s="44">
        <f t="shared" ref="N241" si="188">N243*N242</f>
        <v>3819.4710987650315</v>
      </c>
    </row>
    <row r="242" spans="1:14" x14ac:dyDescent="0.35">
      <c r="B242" s="10" t="s">
        <v>182</v>
      </c>
      <c r="C242" s="23"/>
      <c r="D242" s="44">
        <f>D7</f>
        <v>44152</v>
      </c>
      <c r="E242" s="44">
        <f t="shared" ref="E242:M242" si="189">E7</f>
        <v>48752</v>
      </c>
      <c r="F242" s="44">
        <f t="shared" si="189"/>
        <v>43930</v>
      </c>
      <c r="G242" s="44">
        <f t="shared" si="189"/>
        <v>49982</v>
      </c>
      <c r="H242" s="44">
        <f t="shared" si="189"/>
        <v>62265</v>
      </c>
      <c r="I242" s="44">
        <f t="shared" si="189"/>
        <v>69618</v>
      </c>
      <c r="J242" s="44">
        <f t="shared" si="189"/>
        <v>72017.38</v>
      </c>
      <c r="K242" s="44">
        <f t="shared" si="189"/>
        <v>74942.957000000009</v>
      </c>
      <c r="L242" s="44">
        <f t="shared" si="189"/>
        <v>78102.05638200001</v>
      </c>
      <c r="M242" s="44">
        <f t="shared" si="189"/>
        <v>81410.792999900004</v>
      </c>
      <c r="N242" s="44">
        <f t="shared" ref="N242" si="190">N7</f>
        <v>84877.135528111816</v>
      </c>
    </row>
    <row r="243" spans="1:14" x14ac:dyDescent="0.35">
      <c r="B243" s="52" t="s">
        <v>183</v>
      </c>
      <c r="C243" s="49"/>
      <c r="D243" s="49">
        <f>D241/D242</f>
        <v>3.3022286646131549E-2</v>
      </c>
      <c r="E243" s="49">
        <f t="shared" ref="E243:I243" si="191">E241/E242</f>
        <v>0.12559484739087629</v>
      </c>
      <c r="F243" s="49">
        <f t="shared" si="191"/>
        <v>1.6708399726838151E-2</v>
      </c>
      <c r="G243" s="49">
        <f t="shared" si="191"/>
        <v>4.4055860109639473E-2</v>
      </c>
      <c r="H243" s="49">
        <f t="shared" si="191"/>
        <v>2.1906367943467439E-2</v>
      </c>
      <c r="I243" s="49">
        <f t="shared" si="191"/>
        <v>4.6065672670860987E-2</v>
      </c>
      <c r="J243" s="50">
        <f>0.045</f>
        <v>4.4999999999999998E-2</v>
      </c>
      <c r="K243" s="50">
        <f t="shared" ref="K243:N243" si="192">0.045</f>
        <v>4.4999999999999998E-2</v>
      </c>
      <c r="L243" s="50">
        <f t="shared" si="192"/>
        <v>4.4999999999999998E-2</v>
      </c>
      <c r="M243" s="50">
        <f t="shared" si="192"/>
        <v>4.4999999999999998E-2</v>
      </c>
      <c r="N243" s="50">
        <f t="shared" si="192"/>
        <v>4.4999999999999998E-2</v>
      </c>
    </row>
    <row r="246" spans="1:14" x14ac:dyDescent="0.35">
      <c r="A246" t="s">
        <v>68</v>
      </c>
      <c r="B246" s="53" t="s">
        <v>169</v>
      </c>
      <c r="C246" s="5" t="s">
        <v>2</v>
      </c>
      <c r="D246" s="5" t="s">
        <v>3</v>
      </c>
      <c r="E246" s="5" t="s">
        <v>4</v>
      </c>
      <c r="F246" s="5" t="s">
        <v>5</v>
      </c>
      <c r="G246" s="5" t="s">
        <v>6</v>
      </c>
      <c r="H246" s="5" t="s">
        <v>7</v>
      </c>
      <c r="I246" s="5">
        <v>2023</v>
      </c>
      <c r="J246" s="5">
        <v>2024</v>
      </c>
      <c r="K246" s="5">
        <v>2025</v>
      </c>
      <c r="L246" s="5">
        <v>2026</v>
      </c>
      <c r="M246" s="5">
        <v>2027</v>
      </c>
      <c r="N246" s="5">
        <v>2028</v>
      </c>
    </row>
    <row r="247" spans="1:14" x14ac:dyDescent="0.35">
      <c r="B247" s="10" t="s">
        <v>173</v>
      </c>
      <c r="C247" s="44">
        <f>C84</f>
        <v>13416</v>
      </c>
      <c r="D247" s="44">
        <f t="shared" ref="D247:H247" si="193">D84</f>
        <v>14874</v>
      </c>
      <c r="E247" s="44">
        <f t="shared" si="193"/>
        <v>20997</v>
      </c>
      <c r="F247" s="44">
        <f t="shared" si="193"/>
        <v>21731</v>
      </c>
      <c r="G247" s="44">
        <f t="shared" si="193"/>
        <v>23933</v>
      </c>
      <c r="H247" s="44">
        <f t="shared" si="193"/>
        <v>25297</v>
      </c>
      <c r="I247" s="44">
        <f>I84</f>
        <v>28504</v>
      </c>
      <c r="J247" s="44">
        <f>I247+J241</f>
        <v>31744.7821</v>
      </c>
      <c r="K247" s="44">
        <f>J247+K241</f>
        <v>35117.215165000001</v>
      </c>
      <c r="L247" s="44">
        <f t="shared" ref="L247:N247" si="194">K247+L241</f>
        <v>38631.807702190003</v>
      </c>
      <c r="M247" s="44">
        <f t="shared" si="194"/>
        <v>42295.293387185506</v>
      </c>
      <c r="N247" s="44">
        <f t="shared" si="194"/>
        <v>46114.764485950538</v>
      </c>
    </row>
    <row r="248" spans="1:14" x14ac:dyDescent="0.35">
      <c r="B248" s="10" t="s">
        <v>174</v>
      </c>
      <c r="C248" s="44">
        <f>C85</f>
        <v>8995</v>
      </c>
      <c r="D248" s="44">
        <f t="shared" ref="D248:I248" si="195">D85</f>
        <v>9515</v>
      </c>
      <c r="E248" s="44">
        <f t="shared" si="195"/>
        <v>10808</v>
      </c>
      <c r="F248" s="44">
        <f t="shared" si="195"/>
        <v>11971</v>
      </c>
      <c r="G248" s="44">
        <f t="shared" si="195"/>
        <v>13630</v>
      </c>
      <c r="H248" s="44">
        <f t="shared" si="195"/>
        <v>14492</v>
      </c>
      <c r="I248" s="44">
        <f t="shared" si="195"/>
        <v>15486</v>
      </c>
      <c r="J248" s="44">
        <f>I248+J265</f>
        <v>18936.739798014161</v>
      </c>
      <c r="K248" s="44">
        <f t="shared" ref="K248:N248" ca="1" si="196">J248+K265</f>
        <v>22399.442144807988</v>
      </c>
      <c r="L248" s="44">
        <f t="shared" ca="1" si="196"/>
        <v>25893.441362250684</v>
      </c>
      <c r="M248" s="44">
        <f t="shared" ca="1" si="196"/>
        <v>29439.289278437685</v>
      </c>
      <c r="N248" s="44">
        <f t="shared" ca="1" si="196"/>
        <v>32788.813237678864</v>
      </c>
    </row>
    <row r="249" spans="1:14" x14ac:dyDescent="0.35">
      <c r="B249" s="10" t="s">
        <v>175</v>
      </c>
      <c r="C249" s="44">
        <f>C247-C248</f>
        <v>4421</v>
      </c>
      <c r="D249" s="44">
        <f t="shared" ref="D249:I249" si="197">D247-D248</f>
        <v>5359</v>
      </c>
      <c r="E249" s="44">
        <f t="shared" si="197"/>
        <v>10189</v>
      </c>
      <c r="F249" s="44">
        <f t="shared" si="197"/>
        <v>9760</v>
      </c>
      <c r="G249" s="44">
        <f t="shared" si="197"/>
        <v>10303</v>
      </c>
      <c r="H249" s="44">
        <f t="shared" si="197"/>
        <v>10805</v>
      </c>
      <c r="I249" s="44">
        <f t="shared" si="197"/>
        <v>13018</v>
      </c>
      <c r="J249" s="44">
        <f>J247-J248</f>
        <v>12808.042301985839</v>
      </c>
      <c r="K249" s="44">
        <f t="shared" ref="K249:M249" ca="1" si="198">K247-K248</f>
        <v>12717.773020192013</v>
      </c>
      <c r="L249" s="44">
        <f t="shared" ca="1" si="198"/>
        <v>12738.366339939319</v>
      </c>
      <c r="M249" s="51">
        <f t="shared" ca="1" si="198"/>
        <v>12856.00410874782</v>
      </c>
      <c r="N249" s="51">
        <f t="shared" ref="N249" ca="1" si="199">N247-N248</f>
        <v>13325.951248271675</v>
      </c>
    </row>
    <row r="250" spans="1:14" x14ac:dyDescent="0.35">
      <c r="B250" s="10" t="s">
        <v>176</v>
      </c>
      <c r="C250" s="44"/>
      <c r="D250" s="44">
        <f>AVERAGE(C247:D247)</f>
        <v>14145</v>
      </c>
      <c r="E250" s="44">
        <f t="shared" ref="E250:H250" si="200">AVERAGE(D247:E247)</f>
        <v>17935.5</v>
      </c>
      <c r="F250" s="44">
        <f t="shared" si="200"/>
        <v>21364</v>
      </c>
      <c r="G250" s="44">
        <f t="shared" si="200"/>
        <v>22832</v>
      </c>
      <c r="H250" s="44">
        <f t="shared" si="200"/>
        <v>24615</v>
      </c>
      <c r="I250" s="44">
        <f>AVERAGE(H247:I247)</f>
        <v>26900.5</v>
      </c>
      <c r="J250" s="44"/>
      <c r="K250" s="44"/>
      <c r="L250" s="44"/>
      <c r="M250" s="51"/>
      <c r="N250" s="51"/>
    </row>
    <row r="251" spans="1:14" x14ac:dyDescent="0.35">
      <c r="B251" s="10" t="s">
        <v>177</v>
      </c>
      <c r="C251" s="44">
        <f>C64</f>
        <v>2128</v>
      </c>
      <c r="D251" s="44">
        <f>D64</f>
        <v>22424</v>
      </c>
      <c r="E251" s="44">
        <f t="shared" ref="E251:I251" si="201">E64</f>
        <v>3040</v>
      </c>
      <c r="F251" s="44">
        <f t="shared" si="201"/>
        <v>3171</v>
      </c>
      <c r="G251" s="44">
        <f t="shared" si="201"/>
        <v>3219</v>
      </c>
      <c r="H251" s="44">
        <f t="shared" si="201"/>
        <v>3613</v>
      </c>
      <c r="I251" s="44">
        <f t="shared" si="201"/>
        <v>3799</v>
      </c>
      <c r="J251" s="44"/>
      <c r="K251" s="44"/>
      <c r="L251" s="44"/>
      <c r="M251" s="51"/>
      <c r="N251" s="51"/>
    </row>
    <row r="252" spans="1:14" x14ac:dyDescent="0.35">
      <c r="B252" s="10" t="s">
        <v>178</v>
      </c>
      <c r="C252" s="44"/>
      <c r="D252" s="44">
        <f>D250/D251</f>
        <v>0.63079735997145914</v>
      </c>
      <c r="E252" s="44">
        <f t="shared" ref="E252:H252" si="202">E250/E251</f>
        <v>5.8998355263157896</v>
      </c>
      <c r="F252" s="44">
        <f t="shared" si="202"/>
        <v>6.7373068432671079</v>
      </c>
      <c r="G252" s="44">
        <f t="shared" si="202"/>
        <v>7.0928859894377139</v>
      </c>
      <c r="H252" s="44">
        <f t="shared" si="202"/>
        <v>6.8128978688070854</v>
      </c>
      <c r="I252" s="44">
        <f>I250/I251</f>
        <v>7.0809423532508555</v>
      </c>
      <c r="J252" s="44"/>
      <c r="K252" s="44"/>
      <c r="L252" s="44"/>
      <c r="M252" s="51"/>
      <c r="N252" s="51"/>
    </row>
    <row r="253" spans="1:14" x14ac:dyDescent="0.35">
      <c r="B253" s="10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51"/>
      <c r="N253" s="51"/>
    </row>
    <row r="254" spans="1:14" x14ac:dyDescent="0.35">
      <c r="B254" s="10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51"/>
      <c r="N254" s="51"/>
    </row>
    <row r="255" spans="1:14" x14ac:dyDescent="0.35">
      <c r="B255" s="10" t="s">
        <v>179</v>
      </c>
      <c r="C255" s="23"/>
      <c r="D255" s="23"/>
      <c r="E255" s="23"/>
      <c r="F255" s="23"/>
      <c r="G255" s="23"/>
      <c r="H255" s="23"/>
      <c r="I255" s="44">
        <f>I249</f>
        <v>13018</v>
      </c>
      <c r="J255" s="44">
        <f>I255-J256</f>
        <v>9796.0985358067719</v>
      </c>
      <c r="K255" s="44">
        <f>J255-K256</f>
        <v>7029.2073376855533</v>
      </c>
      <c r="L255" s="44">
        <f t="shared" ref="L255" si="203">K255-L256</f>
        <v>4717.3264056363432</v>
      </c>
      <c r="M255" s="51">
        <f>L255-M256</f>
        <v>2860.4557396591417</v>
      </c>
      <c r="N255" s="51">
        <f>M255-N256</f>
        <v>1458.5953397539492</v>
      </c>
    </row>
    <row r="256" spans="1:14" x14ac:dyDescent="0.35">
      <c r="B256" s="10" t="s">
        <v>180</v>
      </c>
      <c r="C256" s="44"/>
      <c r="D256" s="44"/>
      <c r="E256" s="44"/>
      <c r="F256" s="44"/>
      <c r="G256" s="44"/>
      <c r="H256" s="44"/>
      <c r="I256" s="44"/>
      <c r="J256" s="44">
        <f>IF(J246-$I$246&lt;=$I$252,IFERROR(MIN(SYD($I$249,0,$I$252,J246-$I$246),I255),0),I255)</f>
        <v>3221.9014641932276</v>
      </c>
      <c r="K256" s="44">
        <f t="shared" ref="K256:N256" si="204">IF(K246-$I$246&lt;=$I$252,IFERROR(MIN(SYD($I$249,0,$I$252,K246-$I$246),J255),0),J255)</f>
        <v>2766.8911981212191</v>
      </c>
      <c r="L256" s="44">
        <f t="shared" si="204"/>
        <v>2311.8809320492101</v>
      </c>
      <c r="M256" s="51">
        <f t="shared" si="204"/>
        <v>1856.8706659772013</v>
      </c>
      <c r="N256" s="51">
        <f t="shared" si="204"/>
        <v>1401.8603999051925</v>
      </c>
    </row>
    <row r="257" spans="2:14" x14ac:dyDescent="0.35">
      <c r="B257" s="10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51"/>
      <c r="N257" s="51"/>
    </row>
    <row r="258" spans="2:14" x14ac:dyDescent="0.35">
      <c r="B258" s="10"/>
      <c r="C258" s="23"/>
      <c r="D258" s="23"/>
      <c r="E258" s="23"/>
      <c r="F258" s="23"/>
      <c r="G258" s="23"/>
      <c r="H258" s="23"/>
      <c r="I258" s="44"/>
      <c r="J258" s="44"/>
      <c r="K258" s="44"/>
      <c r="L258" s="44"/>
      <c r="M258" s="51"/>
      <c r="N258" s="51"/>
    </row>
    <row r="259" spans="2:14" x14ac:dyDescent="0.35">
      <c r="B259" s="10" t="s">
        <v>184</v>
      </c>
      <c r="C259" s="44" t="s">
        <v>185</v>
      </c>
      <c r="D259" s="44" t="s">
        <v>186</v>
      </c>
      <c r="E259" s="44" t="s">
        <v>187</v>
      </c>
      <c r="F259" s="44" t="s">
        <v>188</v>
      </c>
      <c r="G259" s="44"/>
      <c r="H259" s="44"/>
      <c r="I259" s="44"/>
      <c r="J259" s="44"/>
      <c r="K259" s="44"/>
      <c r="L259" s="44"/>
      <c r="M259" s="51"/>
      <c r="N259" s="51"/>
    </row>
    <row r="260" spans="2:14" x14ac:dyDescent="0.35">
      <c r="B260" s="10"/>
      <c r="C260" s="63">
        <v>2024</v>
      </c>
      <c r="D260" s="44">
        <f>J241</f>
        <v>3240.7820999999999</v>
      </c>
      <c r="E260" s="44">
        <v>0</v>
      </c>
      <c r="F260" s="44">
        <f>I252</f>
        <v>7.0809423532508555</v>
      </c>
      <c r="G260" s="44"/>
      <c r="H260" s="44"/>
      <c r="I260" s="44"/>
      <c r="J260" s="44">
        <f>0.5*SLN($D260,$D260*$E260,$F260)</f>
        <v>228.83833382093269</v>
      </c>
      <c r="K260" s="44">
        <f ca="1">MIN(SLN($D260,$D260*$E260,$F260),$D260*(1-$E260)-SUM($J260:K260))</f>
        <v>457.67666764186538</v>
      </c>
      <c r="L260" s="44">
        <f ca="1">MIN(SLN($D260,$D260*$E260,$F260),$D260*(1-$E260)-SUM($J260:L260))</f>
        <v>457.67666764186538</v>
      </c>
      <c r="M260" s="51">
        <f ca="1">MIN(SLN($D260,$D260*$E260,$F260),$D260*(1-$E260)-SUM($J260:M260))</f>
        <v>457.67666764186538</v>
      </c>
      <c r="N260" s="51">
        <f ca="1">MIN(SLN($D260,$D260*$E260,$F260),$D260*(1-$E260)-SUM($J260:N260))</f>
        <v>457.67666764186538</v>
      </c>
    </row>
    <row r="261" spans="2:14" x14ac:dyDescent="0.35">
      <c r="B261" s="10"/>
      <c r="C261" s="63">
        <v>2025</v>
      </c>
      <c r="D261" s="44">
        <f>K241</f>
        <v>3372.4330650000002</v>
      </c>
      <c r="E261" s="44">
        <v>0</v>
      </c>
      <c r="F261" s="44">
        <f>I252</f>
        <v>7.0809423532508555</v>
      </c>
      <c r="G261" s="23"/>
      <c r="H261" s="23"/>
      <c r="I261" s="44"/>
      <c r="J261" s="44"/>
      <c r="K261" s="44">
        <f>0.5*SLN($D261,$D261*$E261,$F261)</f>
        <v>238.13448103074293</v>
      </c>
      <c r="L261" s="44">
        <f ca="1">MIN(SLN($D261,$D261*$E261,$F261),$D261*(1-$E261)-SUM($J261:L261))</f>
        <v>476.26896206148587</v>
      </c>
      <c r="M261" s="51">
        <f ca="1">MIN(SLN($D261,$D261*$E261,$F261),$D261*(1-$E261)-SUM($J261:M261))</f>
        <v>476.26896206148587</v>
      </c>
      <c r="N261" s="51">
        <f ca="1">MIN(SLN($D261,$D261*$E261,$F261),$D261*(1-$E261)-SUM($J261:N261))</f>
        <v>476.26896206148587</v>
      </c>
    </row>
    <row r="262" spans="2:14" x14ac:dyDescent="0.35">
      <c r="B262" s="10"/>
      <c r="C262" s="63">
        <v>2026</v>
      </c>
      <c r="D262" s="44">
        <f>L241</f>
        <v>3514.5925371900003</v>
      </c>
      <c r="E262" s="44">
        <v>0</v>
      </c>
      <c r="F262" s="44">
        <f>I252</f>
        <v>7.0809423532508555</v>
      </c>
      <c r="G262" s="44"/>
      <c r="H262" s="44"/>
      <c r="I262" s="44"/>
      <c r="J262" s="44"/>
      <c r="K262" s="44"/>
      <c r="L262" s="44">
        <f>0.5*SLN($D262,$D262*$E262,$F262)</f>
        <v>248.17265569013236</v>
      </c>
      <c r="M262" s="51">
        <f ca="1">MIN(SLN($D262,$D262*$E262,$F262),$D262*(1-$E262)-SUM($J262:M262))</f>
        <v>496.34531138026472</v>
      </c>
      <c r="N262" s="51">
        <f ca="1">MIN(SLN($D262,$D262*$E262,$F262),$D262*(1-$E262)-SUM($J262:N262))</f>
        <v>496.34531138026472</v>
      </c>
    </row>
    <row r="263" spans="2:14" x14ac:dyDescent="0.35">
      <c r="B263" s="10"/>
      <c r="C263" s="63">
        <v>2027</v>
      </c>
      <c r="D263" s="44">
        <f>M241</f>
        <v>3663.4856849954999</v>
      </c>
      <c r="E263" s="44">
        <v>0</v>
      </c>
      <c r="F263" s="44">
        <f>I252</f>
        <v>7.0809423532508555</v>
      </c>
      <c r="G263" s="44"/>
      <c r="H263" s="44"/>
      <c r="I263" s="44"/>
      <c r="J263" s="44"/>
      <c r="K263" s="44"/>
      <c r="L263" s="44"/>
      <c r="M263" s="51">
        <f>0.5*SLN($D263,$D263*$E263,$F263)</f>
        <v>258.68630912618545</v>
      </c>
      <c r="N263" s="51">
        <f ca="1">MIN(SLN($D263,$D263*$E263,$F263),$D263*(1-$E263)-SUM($J263:N263))</f>
        <v>517.3726182523709</v>
      </c>
    </row>
    <row r="264" spans="2:14" x14ac:dyDescent="0.35">
      <c r="B264" s="10"/>
      <c r="C264" s="23">
        <v>20.28</v>
      </c>
      <c r="D264" s="64">
        <f>N241</f>
        <v>3819.4710987650315</v>
      </c>
      <c r="E264" s="44">
        <v>0</v>
      </c>
      <c r="F264" s="44">
        <f>I252</f>
        <v>7.0809423532508555</v>
      </c>
      <c r="G264" s="23"/>
      <c r="H264" s="23"/>
      <c r="I264" s="44"/>
      <c r="J264" s="44"/>
      <c r="K264" s="44"/>
      <c r="L264" s="44"/>
      <c r="M264" s="51"/>
      <c r="N264" s="51">
        <f>0.5*SLN($D264,$D264*$E264,$F264)</f>
        <v>269.70076214584032</v>
      </c>
    </row>
    <row r="265" spans="2:14" x14ac:dyDescent="0.35">
      <c r="B265" s="52" t="s">
        <v>65</v>
      </c>
      <c r="C265" s="44"/>
      <c r="D265" s="44"/>
      <c r="E265" s="44"/>
      <c r="F265" s="44"/>
      <c r="G265" s="44"/>
      <c r="H265" s="44"/>
      <c r="I265" s="44"/>
      <c r="J265" s="44">
        <f>SUM(J260:J263)+J256</f>
        <v>3450.7397980141604</v>
      </c>
      <c r="K265" s="44">
        <f ca="1">SUM(K260:K263)+K256</f>
        <v>3462.7023467938275</v>
      </c>
      <c r="L265" s="44">
        <f ca="1">SUM(L260:L263)+L256</f>
        <v>3493.9992174426934</v>
      </c>
      <c r="M265" s="51">
        <f ca="1">SUM(M260:M263)+M256</f>
        <v>3545.8479161870027</v>
      </c>
      <c r="N265" s="45">
        <f ca="1">SUM(N260:N263)+N256</f>
        <v>3349.5239592411795</v>
      </c>
    </row>
    <row r="266" spans="2:14" x14ac:dyDescent="0.35"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</row>
    <row r="278" spans="1:14" x14ac:dyDescent="0.35">
      <c r="A278" t="s">
        <v>68</v>
      </c>
    </row>
    <row r="279" spans="1:14" x14ac:dyDescent="0.35">
      <c r="B279" s="53" t="s">
        <v>189</v>
      </c>
      <c r="C279" s="5" t="s">
        <v>2</v>
      </c>
      <c r="D279" s="5" t="s">
        <v>3</v>
      </c>
      <c r="E279" s="5" t="s">
        <v>4</v>
      </c>
      <c r="F279" s="5" t="s">
        <v>5</v>
      </c>
      <c r="G279" s="5" t="s">
        <v>6</v>
      </c>
      <c r="H279" s="5" t="s">
        <v>7</v>
      </c>
      <c r="I279" s="5">
        <v>2023</v>
      </c>
      <c r="J279" s="5" t="s">
        <v>250</v>
      </c>
      <c r="K279" s="5" t="s">
        <v>251</v>
      </c>
      <c r="L279" s="5" t="s">
        <v>252</v>
      </c>
      <c r="M279" s="5" t="s">
        <v>253</v>
      </c>
      <c r="N279" s="5" t="s">
        <v>253</v>
      </c>
    </row>
    <row r="280" spans="1:14" x14ac:dyDescent="0.35">
      <c r="B280" s="10" t="s">
        <v>190</v>
      </c>
      <c r="C280" s="44"/>
      <c r="D280" s="44">
        <f>C283</f>
        <v>18383</v>
      </c>
      <c r="E280" s="44">
        <f t="shared" ref="E280:N280" si="205">D283</f>
        <v>19818</v>
      </c>
      <c r="F280" s="44">
        <f t="shared" si="205"/>
        <v>23042</v>
      </c>
      <c r="G280" s="44">
        <f t="shared" si="205"/>
        <v>23173</v>
      </c>
      <c r="H280" s="44">
        <f t="shared" si="205"/>
        <v>24772</v>
      </c>
      <c r="I280" s="44">
        <f t="shared" si="205"/>
        <v>29409</v>
      </c>
      <c r="J280" s="44">
        <f t="shared" si="205"/>
        <v>32041</v>
      </c>
      <c r="K280" s="44">
        <f t="shared" si="205"/>
        <v>34775.370080000001</v>
      </c>
      <c r="L280" s="44">
        <f t="shared" si="205"/>
        <v>37789.207114329598</v>
      </c>
      <c r="M280" s="44">
        <f t="shared" si="205"/>
        <v>41077.681454864993</v>
      </c>
      <c r="N280" s="44">
        <f t="shared" si="205"/>
        <v>44638.93277028163</v>
      </c>
    </row>
    <row r="281" spans="1:14" x14ac:dyDescent="0.35">
      <c r="B281" s="10" t="s">
        <v>191</v>
      </c>
      <c r="C281" s="44">
        <f>C32</f>
        <v>2747</v>
      </c>
      <c r="D281" s="44">
        <f t="shared" ref="D281:M281" si="206">D32</f>
        <v>2983</v>
      </c>
      <c r="E281" s="44">
        <f t="shared" si="206"/>
        <v>3260</v>
      </c>
      <c r="F281" s="44">
        <f t="shared" si="206"/>
        <v>1243</v>
      </c>
      <c r="G281" s="44">
        <f t="shared" si="206"/>
        <v>2597</v>
      </c>
      <c r="H281" s="44">
        <f t="shared" si="206"/>
        <v>4259</v>
      </c>
      <c r="I281" s="44">
        <f t="shared" si="206"/>
        <v>4702</v>
      </c>
      <c r="J281" s="44">
        <f t="shared" si="206"/>
        <v>5027.3700799999997</v>
      </c>
      <c r="K281" s="44">
        <f t="shared" si="206"/>
        <v>5306.8370343295992</v>
      </c>
      <c r="L281" s="44">
        <f t="shared" si="206"/>
        <v>5581.4743405353929</v>
      </c>
      <c r="M281" s="44">
        <f t="shared" si="206"/>
        <v>5854.2513154166372</v>
      </c>
      <c r="N281" s="44">
        <f t="shared" ref="N281" si="207">N32</f>
        <v>6140.2114735438299</v>
      </c>
    </row>
    <row r="282" spans="1:14" x14ac:dyDescent="0.35">
      <c r="B282" s="10" t="s">
        <v>192</v>
      </c>
      <c r="C282" s="44">
        <v>-1197</v>
      </c>
      <c r="D282" s="44">
        <v>-1391</v>
      </c>
      <c r="E282" s="44">
        <v>-1504</v>
      </c>
      <c r="F282" s="44">
        <v>-694</v>
      </c>
      <c r="G282" s="44">
        <v>-1528</v>
      </c>
      <c r="H282" s="44">
        <v>-1830</v>
      </c>
      <c r="I282" s="44">
        <v>-2293</v>
      </c>
      <c r="J282" s="56">
        <v>-2293</v>
      </c>
      <c r="K282" s="56">
        <v>-2293</v>
      </c>
      <c r="L282" s="56">
        <v>-2293</v>
      </c>
      <c r="M282" s="56">
        <v>-2293</v>
      </c>
      <c r="N282" s="56">
        <v>-2293</v>
      </c>
    </row>
    <row r="283" spans="1:14" x14ac:dyDescent="0.35">
      <c r="B283" s="18" t="s">
        <v>193</v>
      </c>
      <c r="C283" s="45">
        <f>C137</f>
        <v>18383</v>
      </c>
      <c r="D283" s="45">
        <f t="shared" ref="D283:I283" si="208">D137</f>
        <v>19818</v>
      </c>
      <c r="E283" s="45">
        <f t="shared" si="208"/>
        <v>23042</v>
      </c>
      <c r="F283" s="45">
        <f t="shared" si="208"/>
        <v>23173</v>
      </c>
      <c r="G283" s="45">
        <f t="shared" si="208"/>
        <v>24772</v>
      </c>
      <c r="H283" s="45">
        <f t="shared" si="208"/>
        <v>29409</v>
      </c>
      <c r="I283" s="45">
        <f t="shared" si="208"/>
        <v>32041</v>
      </c>
      <c r="J283" s="45">
        <f>J280+J281+J282</f>
        <v>34775.370080000001</v>
      </c>
      <c r="K283" s="45">
        <f t="shared" ref="K283:M283" si="209">K280+K281+K282</f>
        <v>37789.207114329598</v>
      </c>
      <c r="L283" s="45">
        <f t="shared" si="209"/>
        <v>41077.681454864993</v>
      </c>
      <c r="M283" s="45">
        <f t="shared" si="209"/>
        <v>44638.93277028163</v>
      </c>
      <c r="N283" s="45">
        <f t="shared" ref="N283" si="210">N280+N281+N282</f>
        <v>48486.14424382546</v>
      </c>
    </row>
    <row r="284" spans="1:14" x14ac:dyDescent="0.35">
      <c r="C284" s="20"/>
    </row>
    <row r="285" spans="1:14" x14ac:dyDescent="0.35">
      <c r="K285" s="20"/>
    </row>
    <row r="286" spans="1:14" x14ac:dyDescent="0.35">
      <c r="K286" s="20"/>
    </row>
    <row r="288" spans="1:14" x14ac:dyDescent="0.35">
      <c r="J288" s="20"/>
      <c r="K288" s="20"/>
      <c r="L288" s="20"/>
      <c r="M288" s="20"/>
    </row>
    <row r="304" spans="1:14" x14ac:dyDescent="0.35">
      <c r="A304" t="s">
        <v>68</v>
      </c>
      <c r="B304" s="53" t="s">
        <v>170</v>
      </c>
      <c r="C304" s="5" t="s">
        <v>2</v>
      </c>
      <c r="D304" s="5" t="s">
        <v>3</v>
      </c>
      <c r="E304" s="5" t="s">
        <v>4</v>
      </c>
      <c r="F304" s="5" t="s">
        <v>5</v>
      </c>
      <c r="G304" s="5" t="s">
        <v>6</v>
      </c>
      <c r="H304" s="5" t="s">
        <v>7</v>
      </c>
      <c r="I304" s="5" t="s">
        <v>8</v>
      </c>
      <c r="J304" s="5" t="s">
        <v>9</v>
      </c>
      <c r="K304" s="5" t="s">
        <v>10</v>
      </c>
      <c r="L304" s="5" t="s">
        <v>66</v>
      </c>
      <c r="M304" s="5" t="s">
        <v>67</v>
      </c>
      <c r="N304" s="5" t="s">
        <v>254</v>
      </c>
    </row>
    <row r="305" spans="1:14" x14ac:dyDescent="0.35">
      <c r="B305" s="10" t="s">
        <v>37</v>
      </c>
      <c r="C305" s="44">
        <f t="shared" ref="C305:M305" si="211">C22</f>
        <v>4108</v>
      </c>
      <c r="D305" s="44">
        <f t="shared" si="211"/>
        <v>4475</v>
      </c>
      <c r="E305" s="44">
        <f t="shared" si="211"/>
        <v>5042</v>
      </c>
      <c r="F305" s="44">
        <f t="shared" si="211"/>
        <v>1824</v>
      </c>
      <c r="G305" s="44">
        <f t="shared" si="211"/>
        <v>3820</v>
      </c>
      <c r="H305" s="44">
        <f t="shared" si="211"/>
        <v>6153</v>
      </c>
      <c r="I305" s="44">
        <f t="shared" si="211"/>
        <v>7019</v>
      </c>
      <c r="J305" s="44">
        <f t="shared" si="211"/>
        <v>7538.0140000000001</v>
      </c>
      <c r="K305" s="44">
        <f t="shared" si="211"/>
        <v>7926.16254768</v>
      </c>
      <c r="L305" s="44">
        <f t="shared" si="211"/>
        <v>8307.6032507436012</v>
      </c>
      <c r="M305" s="44">
        <f t="shared" si="211"/>
        <v>8686.460160300885</v>
      </c>
      <c r="N305" s="44">
        <f t="shared" ref="N305" si="212">N22</f>
        <v>9085.0159354775424</v>
      </c>
    </row>
    <row r="306" spans="1:14" x14ac:dyDescent="0.35">
      <c r="B306" s="10" t="s">
        <v>171</v>
      </c>
      <c r="C306" s="44">
        <f t="shared" ref="C306:I306" si="213">C23</f>
        <v>1271</v>
      </c>
      <c r="D306" s="44">
        <f t="shared" si="213"/>
        <v>1418</v>
      </c>
      <c r="E306" s="44">
        <f t="shared" si="213"/>
        <v>1634</v>
      </c>
      <c r="F306" s="44">
        <f t="shared" si="213"/>
        <v>807</v>
      </c>
      <c r="G306" s="44">
        <f t="shared" si="213"/>
        <v>1625</v>
      </c>
      <c r="H306" s="44">
        <f t="shared" si="213"/>
        <v>1737</v>
      </c>
      <c r="I306" s="44">
        <f t="shared" si="213"/>
        <v>1917</v>
      </c>
      <c r="J306" s="44">
        <f>J305*J307</f>
        <v>2110.6439200000004</v>
      </c>
      <c r="K306" s="44">
        <f t="shared" ref="K306:M306" si="214">K305*K307</f>
        <v>2219.3255133504003</v>
      </c>
      <c r="L306" s="44">
        <f t="shared" si="214"/>
        <v>2326.1289102082087</v>
      </c>
      <c r="M306" s="44">
        <f t="shared" si="214"/>
        <v>2432.2088448842483</v>
      </c>
      <c r="N306" s="44">
        <f>N305*N307</f>
        <v>2543.804461933712</v>
      </c>
    </row>
    <row r="307" spans="1:14" x14ac:dyDescent="0.35">
      <c r="B307" s="18" t="s">
        <v>172</v>
      </c>
      <c r="C307" s="49">
        <f>C306/C305</f>
        <v>0.30939629990262901</v>
      </c>
      <c r="D307" s="49">
        <f t="shared" ref="D307:I307" si="215">D306/D305</f>
        <v>0.31687150837988826</v>
      </c>
      <c r="E307" s="49">
        <f t="shared" si="215"/>
        <v>0.32407774692582308</v>
      </c>
      <c r="F307" s="49">
        <f t="shared" si="215"/>
        <v>0.44243421052631576</v>
      </c>
      <c r="G307" s="49">
        <f t="shared" si="215"/>
        <v>0.42539267015706805</v>
      </c>
      <c r="H307" s="49">
        <f t="shared" si="215"/>
        <v>0.28230131643100925</v>
      </c>
      <c r="I307" s="49">
        <f t="shared" si="215"/>
        <v>0.2731158284655934</v>
      </c>
      <c r="J307" s="50">
        <v>0.28000000000000003</v>
      </c>
      <c r="K307" s="50">
        <v>0.28000000000000003</v>
      </c>
      <c r="L307" s="50">
        <v>0.28000000000000003</v>
      </c>
      <c r="M307" s="50">
        <v>0.28000000000000003</v>
      </c>
      <c r="N307" s="50">
        <v>0.28000000000000003</v>
      </c>
    </row>
    <row r="313" spans="1:14" x14ac:dyDescent="0.35">
      <c r="A313" t="s">
        <v>68</v>
      </c>
      <c r="B313" s="48" t="s">
        <v>198</v>
      </c>
      <c r="C313" s="5" t="s">
        <v>2</v>
      </c>
      <c r="D313" s="5" t="s">
        <v>3</v>
      </c>
      <c r="E313" s="5" t="s">
        <v>4</v>
      </c>
      <c r="F313" s="5" t="s">
        <v>5</v>
      </c>
      <c r="G313" s="5" t="s">
        <v>6</v>
      </c>
      <c r="H313" s="5" t="s">
        <v>7</v>
      </c>
      <c r="I313" s="5" t="s">
        <v>8</v>
      </c>
      <c r="J313" s="5" t="s">
        <v>9</v>
      </c>
      <c r="K313" s="5" t="s">
        <v>10</v>
      </c>
      <c r="L313" s="5" t="s">
        <v>66</v>
      </c>
      <c r="M313" s="5" t="s">
        <v>67</v>
      </c>
      <c r="N313" s="5" t="s">
        <v>254</v>
      </c>
    </row>
    <row r="314" spans="1:14" x14ac:dyDescent="0.35">
      <c r="B314" s="59" t="s">
        <v>212</v>
      </c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</row>
    <row r="315" spans="1:14" x14ac:dyDescent="0.35">
      <c r="B315" s="10" t="s">
        <v>191</v>
      </c>
      <c r="C315" s="60">
        <f>C35</f>
        <v>2747</v>
      </c>
      <c r="D315" s="60">
        <f t="shared" ref="D315:M315" si="216">D35</f>
        <v>2983</v>
      </c>
      <c r="E315" s="60">
        <f t="shared" si="216"/>
        <v>3260</v>
      </c>
      <c r="F315" s="60">
        <f t="shared" si="216"/>
        <v>1243</v>
      </c>
      <c r="G315" s="60">
        <f t="shared" si="216"/>
        <v>2597</v>
      </c>
      <c r="H315" s="60">
        <f t="shared" si="216"/>
        <v>4259</v>
      </c>
      <c r="I315" s="60">
        <f t="shared" si="216"/>
        <v>4702</v>
      </c>
      <c r="J315" s="60">
        <f t="shared" si="216"/>
        <v>5027.3700799999997</v>
      </c>
      <c r="K315" s="60">
        <f t="shared" si="216"/>
        <v>5306.8370343295992</v>
      </c>
      <c r="L315" s="60">
        <f t="shared" si="216"/>
        <v>5581.4743405353929</v>
      </c>
      <c r="M315" s="61">
        <f t="shared" si="216"/>
        <v>5854.2513154166372</v>
      </c>
      <c r="N315" s="61">
        <f t="shared" ref="N315" si="217">N35</f>
        <v>6140.2114735438299</v>
      </c>
    </row>
    <row r="316" spans="1:14" x14ac:dyDescent="0.35">
      <c r="B316" s="10" t="s">
        <v>199</v>
      </c>
      <c r="C316" s="60">
        <f>C251</f>
        <v>2128</v>
      </c>
      <c r="D316" s="60">
        <f t="shared" ref="D316:H316" si="218">D251</f>
        <v>22424</v>
      </c>
      <c r="E316" s="60">
        <f t="shared" si="218"/>
        <v>3040</v>
      </c>
      <c r="F316" s="60">
        <f t="shared" si="218"/>
        <v>3171</v>
      </c>
      <c r="G316" s="60">
        <f t="shared" si="218"/>
        <v>3219</v>
      </c>
      <c r="H316" s="60">
        <f t="shared" si="218"/>
        <v>3613</v>
      </c>
      <c r="I316" s="60">
        <f>I251</f>
        <v>3799</v>
      </c>
      <c r="J316" s="60">
        <f>J265</f>
        <v>3450.7397980141604</v>
      </c>
      <c r="K316" s="60">
        <f ca="1">K265</f>
        <v>3462.7023467938275</v>
      </c>
      <c r="L316" s="60">
        <f t="shared" ref="L316:M316" ca="1" si="219">L265</f>
        <v>3493.9992174426934</v>
      </c>
      <c r="M316" s="61">
        <f t="shared" ca="1" si="219"/>
        <v>3545.8479161870027</v>
      </c>
      <c r="N316" s="61">
        <f t="shared" ref="N316" ca="1" si="220">N265</f>
        <v>3349.5239592411795</v>
      </c>
    </row>
    <row r="317" spans="1:14" x14ac:dyDescent="0.35">
      <c r="B317" s="10" t="s">
        <v>200</v>
      </c>
      <c r="C317" s="60"/>
      <c r="D317" s="60">
        <f>C73-D73</f>
        <v>-675</v>
      </c>
      <c r="E317" s="60">
        <f t="shared" ref="E317:N317" si="221">D73-E73</f>
        <v>-658</v>
      </c>
      <c r="F317" s="60">
        <f t="shared" si="221"/>
        <v>1467</v>
      </c>
      <c r="G317" s="60">
        <f t="shared" si="221"/>
        <v>-1689</v>
      </c>
      <c r="H317" s="60">
        <f t="shared" si="221"/>
        <v>-677</v>
      </c>
      <c r="I317" s="60">
        <f t="shared" si="221"/>
        <v>-234</v>
      </c>
      <c r="J317" s="60">
        <f>I73-J73</f>
        <v>-895.34630000000107</v>
      </c>
      <c r="K317" s="60">
        <f t="shared" si="221"/>
        <v>-769.66768000000047</v>
      </c>
      <c r="L317" s="60">
        <f t="shared" si="221"/>
        <v>-832.78419538999879</v>
      </c>
      <c r="M317" s="61">
        <f t="shared" si="221"/>
        <v>-886.82077459500033</v>
      </c>
      <c r="N317" s="61">
        <f t="shared" si="221"/>
        <v>-519.95137923177208</v>
      </c>
    </row>
    <row r="318" spans="1:14" x14ac:dyDescent="0.35">
      <c r="B318" s="10" t="s">
        <v>201</v>
      </c>
      <c r="C318" s="60"/>
      <c r="D318" s="60">
        <f>C76-D76</f>
        <v>-117</v>
      </c>
      <c r="E318" s="60">
        <f t="shared" ref="E318:N318" si="222">D76-E76</f>
        <v>-261</v>
      </c>
      <c r="F318" s="60">
        <f t="shared" si="222"/>
        <v>6</v>
      </c>
      <c r="G318" s="60">
        <f t="shared" si="222"/>
        <v>-163</v>
      </c>
      <c r="H318" s="60">
        <f t="shared" si="222"/>
        <v>-194</v>
      </c>
      <c r="I318" s="60">
        <f t="shared" si="222"/>
        <v>-93</v>
      </c>
      <c r="J318" s="60">
        <f t="shared" si="222"/>
        <v>-282.52140000000009</v>
      </c>
      <c r="K318" s="60">
        <f t="shared" si="222"/>
        <v>-87.76731000000018</v>
      </c>
      <c r="L318" s="60">
        <f t="shared" si="222"/>
        <v>-94.772981459999755</v>
      </c>
      <c r="M318" s="61">
        <f t="shared" si="222"/>
        <v>-99.262098536999929</v>
      </c>
      <c r="N318" s="61">
        <f t="shared" si="222"/>
        <v>-103.99027584635451</v>
      </c>
    </row>
    <row r="319" spans="1:14" x14ac:dyDescent="0.35">
      <c r="B319" s="10" t="s">
        <v>202</v>
      </c>
      <c r="C319" s="60"/>
      <c r="D319" s="60">
        <f>C77-D77</f>
        <v>-339</v>
      </c>
      <c r="E319" s="60">
        <f t="shared" ref="E319:N319" si="223">D77-E77</f>
        <v>-333</v>
      </c>
      <c r="F319" s="60">
        <f t="shared" si="223"/>
        <v>51</v>
      </c>
      <c r="G319" s="60">
        <f t="shared" si="223"/>
        <v>-2598</v>
      </c>
      <c r="H319" s="60">
        <f t="shared" si="223"/>
        <v>-2852</v>
      </c>
      <c r="I319" s="60">
        <f t="shared" si="223"/>
        <v>-914</v>
      </c>
      <c r="J319" s="60">
        <f>I77-J77</f>
        <v>-1132.8142600000028</v>
      </c>
      <c r="K319" s="60">
        <f t="shared" si="223"/>
        <v>-810.38482899999872</v>
      </c>
      <c r="L319" s="60">
        <f t="shared" si="223"/>
        <v>-875.07052881400159</v>
      </c>
      <c r="M319" s="61">
        <f t="shared" si="223"/>
        <v>-916.52004315829981</v>
      </c>
      <c r="N319" s="61">
        <f t="shared" si="223"/>
        <v>-960.17688031466969</v>
      </c>
    </row>
    <row r="320" spans="1:14" x14ac:dyDescent="0.35">
      <c r="B320" s="10" t="s">
        <v>206</v>
      </c>
      <c r="C320" s="60"/>
      <c r="D320" s="60">
        <f>-(C101-D101)</f>
        <v>1109</v>
      </c>
      <c r="E320" s="60">
        <f t="shared" ref="E320:N320" si="224">-(D101-E101)</f>
        <v>2261</v>
      </c>
      <c r="F320" s="60">
        <f t="shared" si="224"/>
        <v>120</v>
      </c>
      <c r="G320" s="60">
        <f t="shared" si="224"/>
        <v>5358</v>
      </c>
      <c r="H320" s="60">
        <f t="shared" si="224"/>
        <v>4887</v>
      </c>
      <c r="I320" s="60">
        <f t="shared" si="224"/>
        <v>2587</v>
      </c>
      <c r="J320" s="60">
        <f t="shared" si="224"/>
        <v>1464.1853300000075</v>
      </c>
      <c r="K320" s="60">
        <f t="shared" si="224"/>
        <v>1546.1674444999953</v>
      </c>
      <c r="L320" s="60">
        <f t="shared" si="224"/>
        <v>1669.584023387004</v>
      </c>
      <c r="M320" s="61">
        <f t="shared" si="224"/>
        <v>1748.6673025601413</v>
      </c>
      <c r="N320" s="61">
        <f t="shared" si="224"/>
        <v>1831.9620261599484</v>
      </c>
    </row>
    <row r="321" spans="2:14" x14ac:dyDescent="0.35">
      <c r="B321" s="10" t="s">
        <v>207</v>
      </c>
      <c r="C321" s="60"/>
      <c r="D321" s="60">
        <f>-(C105-D105)</f>
        <v>-196</v>
      </c>
      <c r="E321" s="60">
        <f t="shared" ref="E321:N321" si="225">-(D105-E105)</f>
        <v>86</v>
      </c>
      <c r="F321" s="60">
        <f t="shared" si="225"/>
        <v>-311</v>
      </c>
      <c r="G321" s="60">
        <f t="shared" si="225"/>
        <v>1883</v>
      </c>
      <c r="H321" s="60">
        <f t="shared" si="225"/>
        <v>597</v>
      </c>
      <c r="I321" s="60">
        <f t="shared" si="225"/>
        <v>-1362</v>
      </c>
      <c r="J321" s="60">
        <f t="shared" si="225"/>
        <v>449.44254000000001</v>
      </c>
      <c r="K321" s="60">
        <f t="shared" si="225"/>
        <v>242.8228909999998</v>
      </c>
      <c r="L321" s="60">
        <f t="shared" si="225"/>
        <v>262.20524870600093</v>
      </c>
      <c r="M321" s="61">
        <f t="shared" si="225"/>
        <v>274.62513928569933</v>
      </c>
      <c r="N321" s="61">
        <f t="shared" si="225"/>
        <v>288.70642984158076</v>
      </c>
    </row>
    <row r="322" spans="2:14" x14ac:dyDescent="0.35">
      <c r="B322" s="10" t="s">
        <v>208</v>
      </c>
      <c r="C322" s="60"/>
      <c r="D322" s="60">
        <f>-(C119-D119)</f>
        <v>131</v>
      </c>
      <c r="E322" s="60">
        <f t="shared" ref="E322:N322" si="226">-(D119-E119)</f>
        <v>1997</v>
      </c>
      <c r="F322" s="60">
        <f t="shared" si="226"/>
        <v>-444</v>
      </c>
      <c r="G322" s="60">
        <f t="shared" si="226"/>
        <v>802</v>
      </c>
      <c r="H322" s="60">
        <f t="shared" si="226"/>
        <v>1871</v>
      </c>
      <c r="I322" s="60">
        <f t="shared" si="226"/>
        <v>-440</v>
      </c>
      <c r="J322" s="60">
        <f t="shared" si="226"/>
        <v>-23.914399999999659</v>
      </c>
      <c r="K322" s="60">
        <f t="shared" si="226"/>
        <v>351.06924000000254</v>
      </c>
      <c r="L322" s="60">
        <f t="shared" si="226"/>
        <v>379.0919258399972</v>
      </c>
      <c r="M322" s="61">
        <f t="shared" si="226"/>
        <v>397.04839414799972</v>
      </c>
      <c r="N322" s="61">
        <f t="shared" si="226"/>
        <v>417.96110338541985</v>
      </c>
    </row>
    <row r="323" spans="2:14" x14ac:dyDescent="0.35">
      <c r="B323" s="10" t="s">
        <v>215</v>
      </c>
      <c r="C323" s="60"/>
      <c r="D323" s="60">
        <f>SUM(D315:D322)</f>
        <v>25320</v>
      </c>
      <c r="E323" s="60">
        <f t="shared" ref="E323:M323" si="227">SUM(E315:E322)</f>
        <v>9392</v>
      </c>
      <c r="F323" s="60">
        <f t="shared" si="227"/>
        <v>5303</v>
      </c>
      <c r="G323" s="60">
        <f t="shared" si="227"/>
        <v>9409</v>
      </c>
      <c r="H323" s="60">
        <f t="shared" si="227"/>
        <v>11504</v>
      </c>
      <c r="I323" s="60">
        <f t="shared" si="227"/>
        <v>8045</v>
      </c>
      <c r="J323" s="60">
        <f>SUM(J315:J322)</f>
        <v>8057.1413880141645</v>
      </c>
      <c r="K323" s="60">
        <f ca="1">SUM(K315:K322)</f>
        <v>9241.7791376234254</v>
      </c>
      <c r="L323" s="60">
        <f t="shared" ca="1" si="227"/>
        <v>9583.7270502470892</v>
      </c>
      <c r="M323" s="61">
        <f t="shared" ca="1" si="227"/>
        <v>9917.8371513071797</v>
      </c>
      <c r="N323" s="61">
        <f t="shared" ref="N323" ca="1" si="228">SUM(N315:N322)</f>
        <v>10444.246456779163</v>
      </c>
    </row>
    <row r="324" spans="2:14" x14ac:dyDescent="0.35">
      <c r="B324" s="57" t="s">
        <v>213</v>
      </c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1"/>
      <c r="N324" s="61"/>
    </row>
    <row r="325" spans="2:14" x14ac:dyDescent="0.35">
      <c r="B325" s="10" t="s">
        <v>203</v>
      </c>
      <c r="C325" s="60"/>
      <c r="D325" s="60">
        <f>C83-D83-D316</f>
        <v>-23362</v>
      </c>
      <c r="E325" s="60">
        <f t="shared" ref="E325:N325" si="229">D83-E83-E316</f>
        <v>-7870</v>
      </c>
      <c r="F325" s="60">
        <f t="shared" si="229"/>
        <v>-2742</v>
      </c>
      <c r="G325" s="60">
        <f t="shared" si="229"/>
        <v>-3762</v>
      </c>
      <c r="H325" s="60">
        <f t="shared" si="229"/>
        <v>-4115</v>
      </c>
      <c r="I325" s="60">
        <f t="shared" si="229"/>
        <v>-6006</v>
      </c>
      <c r="J325" s="60">
        <f>I83-J83-J316</f>
        <v>-3246.7820999999994</v>
      </c>
      <c r="K325" s="60">
        <f t="shared" ca="1" si="229"/>
        <v>-3372.4330650000015</v>
      </c>
      <c r="L325" s="60">
        <f ca="1">K83-L83-L316</f>
        <v>-3514.5925371899993</v>
      </c>
      <c r="M325" s="61">
        <f t="shared" ca="1" si="229"/>
        <v>-3663.485684995504</v>
      </c>
      <c r="N325" s="61">
        <f t="shared" ca="1" si="229"/>
        <v>-3819.4710987650337</v>
      </c>
    </row>
    <row r="326" spans="2:14" x14ac:dyDescent="0.35">
      <c r="B326" s="10" t="s">
        <v>204</v>
      </c>
      <c r="C326" s="60"/>
      <c r="D326" s="60">
        <f>C86-D86</f>
        <v>-230</v>
      </c>
      <c r="E326" s="60">
        <f t="shared" ref="E326:M326" si="230">D86-E86</f>
        <v>-193</v>
      </c>
      <c r="F326" s="60">
        <f t="shared" si="230"/>
        <v>-712</v>
      </c>
      <c r="G326" s="60">
        <f t="shared" si="230"/>
        <v>-212</v>
      </c>
      <c r="H326" s="60">
        <f t="shared" si="230"/>
        <v>-138</v>
      </c>
      <c r="I326" s="60">
        <f t="shared" si="230"/>
        <v>-57</v>
      </c>
      <c r="J326" s="60">
        <f>I86-J86</f>
        <v>-236.69520000000011</v>
      </c>
      <c r="K326" s="60">
        <f t="shared" si="230"/>
        <v>-304.3804725</v>
      </c>
      <c r="L326" s="60">
        <f t="shared" si="230"/>
        <v>-134.26172373500049</v>
      </c>
      <c r="M326" s="61">
        <f t="shared" si="230"/>
        <v>-140.62130626074941</v>
      </c>
      <c r="N326" s="61">
        <f>M86-N86</f>
        <v>-147.31955744900188</v>
      </c>
    </row>
    <row r="327" spans="2:14" x14ac:dyDescent="0.35">
      <c r="B327" s="10" t="s">
        <v>205</v>
      </c>
      <c r="C327" s="60"/>
      <c r="D327" s="60">
        <f>C89-D89</f>
        <v>-2041</v>
      </c>
      <c r="E327" s="60">
        <f t="shared" ref="E327:N327" si="231">D89-E89</f>
        <v>-9172</v>
      </c>
      <c r="F327" s="60">
        <f t="shared" si="231"/>
        <v>2088</v>
      </c>
      <c r="G327" s="60">
        <f t="shared" si="231"/>
        <v>-5013</v>
      </c>
      <c r="H327" s="60">
        <f t="shared" si="231"/>
        <v>-4760</v>
      </c>
      <c r="I327" s="60">
        <f t="shared" si="231"/>
        <v>-228</v>
      </c>
      <c r="J327" s="60">
        <f>I89-J89</f>
        <v>0</v>
      </c>
      <c r="K327" s="60">
        <f>J89-K89</f>
        <v>0</v>
      </c>
      <c r="L327" s="60">
        <f t="shared" si="231"/>
        <v>0</v>
      </c>
      <c r="M327" s="61">
        <f t="shared" si="231"/>
        <v>0</v>
      </c>
      <c r="N327" s="61">
        <f t="shared" si="231"/>
        <v>0</v>
      </c>
    </row>
    <row r="328" spans="2:14" x14ac:dyDescent="0.35">
      <c r="B328" s="10" t="s">
        <v>216</v>
      </c>
      <c r="C328" s="60"/>
      <c r="D328" s="60">
        <f>SUM(D325:D327)</f>
        <v>-25633</v>
      </c>
      <c r="E328" s="60">
        <f t="shared" ref="E328:M328" si="232">SUM(E325:E327)</f>
        <v>-17235</v>
      </c>
      <c r="F328" s="60">
        <f t="shared" si="232"/>
        <v>-1366</v>
      </c>
      <c r="G328" s="60">
        <f t="shared" si="232"/>
        <v>-8987</v>
      </c>
      <c r="H328" s="60">
        <f t="shared" si="232"/>
        <v>-9013</v>
      </c>
      <c r="I328" s="60">
        <f t="shared" si="232"/>
        <v>-6291</v>
      </c>
      <c r="J328" s="60">
        <f t="shared" si="232"/>
        <v>-3483.4772999999996</v>
      </c>
      <c r="K328" s="60">
        <f ca="1">SUM(K325:K327)</f>
        <v>-3676.8135375000015</v>
      </c>
      <c r="L328" s="60">
        <f t="shared" ca="1" si="232"/>
        <v>-3648.8542609249998</v>
      </c>
      <c r="M328" s="61">
        <f t="shared" ca="1" si="232"/>
        <v>-3804.1069912562534</v>
      </c>
      <c r="N328" s="61">
        <f ca="1">SUM(N325:N327)</f>
        <v>-3966.7906562140356</v>
      </c>
    </row>
    <row r="329" spans="2:14" x14ac:dyDescent="0.35">
      <c r="B329" s="57" t="s">
        <v>214</v>
      </c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1"/>
      <c r="N329" s="61"/>
    </row>
    <row r="330" spans="2:14" x14ac:dyDescent="0.35">
      <c r="B330" s="10" t="s">
        <v>209</v>
      </c>
      <c r="C330" s="60"/>
      <c r="D330" s="60">
        <f>-(C115-D115)</f>
        <v>2969</v>
      </c>
      <c r="E330" s="60">
        <f t="shared" ref="E330:N330" si="233">-(D115-E115)</f>
        <v>8122</v>
      </c>
      <c r="F330" s="60">
        <f t="shared" si="233"/>
        <v>358</v>
      </c>
      <c r="G330" s="60">
        <f t="shared" si="233"/>
        <v>-1548</v>
      </c>
      <c r="H330" s="60">
        <f t="shared" si="233"/>
        <v>-1333</v>
      </c>
      <c r="I330" s="60">
        <f t="shared" si="233"/>
        <v>2298</v>
      </c>
      <c r="J330" s="60">
        <f t="shared" si="233"/>
        <v>3469.9171199999982</v>
      </c>
      <c r="K330" s="60">
        <f t="shared" si="233"/>
        <v>605.14428799999951</v>
      </c>
      <c r="L330" s="60">
        <f t="shared" si="233"/>
        <v>497.5258114680073</v>
      </c>
      <c r="M330" s="61">
        <f>-(L115-M115)</f>
        <v>1456.919376426602</v>
      </c>
      <c r="N330" s="61">
        <f t="shared" si="233"/>
        <v>1532.3262644000497</v>
      </c>
    </row>
    <row r="331" spans="2:14" x14ac:dyDescent="0.35">
      <c r="B331" s="10" t="s">
        <v>210</v>
      </c>
      <c r="C331" s="60"/>
      <c r="D331" s="60">
        <f>-(C119-D119)</f>
        <v>131</v>
      </c>
      <c r="E331" s="60">
        <f t="shared" ref="E331:N331" si="234">-(D119-E119)</f>
        <v>1997</v>
      </c>
      <c r="F331" s="60">
        <f t="shared" si="234"/>
        <v>-444</v>
      </c>
      <c r="G331" s="60">
        <f t="shared" si="234"/>
        <v>802</v>
      </c>
      <c r="H331" s="60">
        <f t="shared" si="234"/>
        <v>1871</v>
      </c>
      <c r="I331" s="60">
        <f t="shared" si="234"/>
        <v>-440</v>
      </c>
      <c r="J331" s="60">
        <f t="shared" si="234"/>
        <v>-23.914399999999659</v>
      </c>
      <c r="K331" s="60">
        <f t="shared" si="234"/>
        <v>351.06924000000254</v>
      </c>
      <c r="L331" s="60">
        <f t="shared" si="234"/>
        <v>379.0919258399972</v>
      </c>
      <c r="M331" s="61">
        <f t="shared" si="234"/>
        <v>397.04839414799972</v>
      </c>
      <c r="N331" s="61">
        <f t="shared" si="234"/>
        <v>417.96110338541985</v>
      </c>
    </row>
    <row r="332" spans="2:14" x14ac:dyDescent="0.35">
      <c r="B332" s="10" t="s">
        <v>211</v>
      </c>
      <c r="C332" s="60"/>
      <c r="D332" s="60">
        <f>-(C137-D137)-D315</f>
        <v>-1548</v>
      </c>
      <c r="E332" s="60">
        <f t="shared" ref="E332:N332" si="235">-(D137-E137)-E315</f>
        <v>-36</v>
      </c>
      <c r="F332" s="60">
        <f t="shared" si="235"/>
        <v>-1112</v>
      </c>
      <c r="G332" s="60">
        <f t="shared" si="235"/>
        <v>-998</v>
      </c>
      <c r="H332" s="60">
        <f t="shared" si="235"/>
        <v>378</v>
      </c>
      <c r="I332" s="60">
        <f t="shared" si="235"/>
        <v>-2070</v>
      </c>
      <c r="J332" s="60">
        <f>-(I137-J137)-J315</f>
        <v>-2292.9999999999991</v>
      </c>
      <c r="K332" s="60">
        <f t="shared" si="235"/>
        <v>-2293.0000000000018</v>
      </c>
      <c r="L332" s="60">
        <f t="shared" si="235"/>
        <v>-2292.9999999999982</v>
      </c>
      <c r="M332" s="61">
        <f t="shared" si="235"/>
        <v>-2293</v>
      </c>
      <c r="N332" s="61">
        <f t="shared" si="235"/>
        <v>-2293</v>
      </c>
    </row>
    <row r="333" spans="2:14" x14ac:dyDescent="0.35">
      <c r="B333" s="10" t="s">
        <v>217</v>
      </c>
      <c r="C333" s="60"/>
      <c r="D333" s="60">
        <f>SUM(D330:D332)</f>
        <v>1552</v>
      </c>
      <c r="E333" s="60">
        <f t="shared" ref="E333:M333" si="236">SUM(E330:E332)</f>
        <v>10083</v>
      </c>
      <c r="F333" s="60">
        <f t="shared" si="236"/>
        <v>-1198</v>
      </c>
      <c r="G333" s="60">
        <f t="shared" si="236"/>
        <v>-1744</v>
      </c>
      <c r="H333" s="60">
        <f t="shared" si="236"/>
        <v>916</v>
      </c>
      <c r="I333" s="60">
        <f t="shared" si="236"/>
        <v>-212</v>
      </c>
      <c r="J333" s="60">
        <f t="shared" si="236"/>
        <v>1153.0027199999995</v>
      </c>
      <c r="K333" s="60">
        <f>SUM(K330:K332)</f>
        <v>-1336.7864719999998</v>
      </c>
      <c r="L333" s="60">
        <f t="shared" si="236"/>
        <v>-1416.3822626919937</v>
      </c>
      <c r="M333" s="61">
        <f t="shared" si="236"/>
        <v>-439.03222942539833</v>
      </c>
      <c r="N333" s="61">
        <f t="shared" ref="N333" si="237">SUM(N330:N332)</f>
        <v>-342.71263221453046</v>
      </c>
    </row>
    <row r="334" spans="2:14" x14ac:dyDescent="0.35">
      <c r="B334" s="1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1"/>
      <c r="N334" s="61"/>
    </row>
    <row r="335" spans="2:14" x14ac:dyDescent="0.35">
      <c r="B335" s="1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1"/>
      <c r="N335" s="61"/>
    </row>
    <row r="336" spans="2:14" x14ac:dyDescent="0.35">
      <c r="B336" s="66" t="s">
        <v>218</v>
      </c>
      <c r="C336" s="67"/>
      <c r="D336" s="67">
        <f>SUM(D333,D328,D323)</f>
        <v>1239</v>
      </c>
      <c r="E336" s="67">
        <f t="shared" ref="E336:L336" si="238">SUM(E333,E328,E323)</f>
        <v>2240</v>
      </c>
      <c r="F336" s="67">
        <f t="shared" si="238"/>
        <v>2739</v>
      </c>
      <c r="G336" s="67">
        <f t="shared" si="238"/>
        <v>-1322</v>
      </c>
      <c r="H336" s="67">
        <f t="shared" si="238"/>
        <v>3407</v>
      </c>
      <c r="I336" s="67">
        <f t="shared" si="238"/>
        <v>1542</v>
      </c>
      <c r="J336" s="67">
        <f t="shared" si="238"/>
        <v>5726.6668080141644</v>
      </c>
      <c r="K336" s="67">
        <f ca="1">SUM(K333,K328,K323)</f>
        <v>4228.1791281234237</v>
      </c>
      <c r="L336" s="67">
        <f t="shared" ca="1" si="238"/>
        <v>4518.4905266300957</v>
      </c>
      <c r="M336" s="68">
        <f ca="1">SUM(M333,M328,M323)</f>
        <v>5674.697930625528</v>
      </c>
      <c r="N336" s="68">
        <f ca="1">SUM(N333,N328,N323)</f>
        <v>6134.7431683505965</v>
      </c>
    </row>
    <row r="344" spans="1:17" x14ac:dyDescent="0.35">
      <c r="A344" t="s">
        <v>68</v>
      </c>
      <c r="B344" s="48" t="s">
        <v>219</v>
      </c>
      <c r="C344" s="48"/>
      <c r="D344" s="5" t="s">
        <v>9</v>
      </c>
      <c r="E344" s="5" t="s">
        <v>10</v>
      </c>
      <c r="F344" s="5" t="s">
        <v>66</v>
      </c>
      <c r="G344" s="5" t="s">
        <v>67</v>
      </c>
      <c r="H344" s="5" t="s">
        <v>254</v>
      </c>
      <c r="I344" s="5" t="s">
        <v>255</v>
      </c>
    </row>
    <row r="345" spans="1:17" x14ac:dyDescent="0.35">
      <c r="B345" s="10" t="s">
        <v>221</v>
      </c>
      <c r="C345" s="61"/>
      <c r="D345" s="60">
        <f>J323</f>
        <v>8057.1413880141645</v>
      </c>
      <c r="E345" s="60">
        <f t="shared" ref="E345:H345" ca="1" si="239">K323</f>
        <v>9241.7791376234254</v>
      </c>
      <c r="F345" s="60">
        <f t="shared" ca="1" si="239"/>
        <v>9583.7270502470892</v>
      </c>
      <c r="G345" s="60">
        <f t="shared" ca="1" si="239"/>
        <v>9917.8371513071797</v>
      </c>
      <c r="H345" s="60">
        <f t="shared" ca="1" si="239"/>
        <v>10444.246456779163</v>
      </c>
      <c r="I345" s="61"/>
      <c r="P345" t="s">
        <v>224</v>
      </c>
      <c r="Q345" t="s">
        <v>226</v>
      </c>
    </row>
    <row r="346" spans="1:17" x14ac:dyDescent="0.35">
      <c r="B346" s="10" t="s">
        <v>222</v>
      </c>
      <c r="C346" s="61"/>
      <c r="D346" s="60">
        <f>J328</f>
        <v>-3483.4772999999996</v>
      </c>
      <c r="E346" s="60">
        <f t="shared" ref="E346:H346" ca="1" si="240">K328</f>
        <v>-3676.8135375000015</v>
      </c>
      <c r="F346" s="60">
        <f t="shared" ca="1" si="240"/>
        <v>-3648.8542609249998</v>
      </c>
      <c r="G346" s="60">
        <f t="shared" ca="1" si="240"/>
        <v>-3804.1069912562534</v>
      </c>
      <c r="H346" s="60">
        <f t="shared" ca="1" si="240"/>
        <v>-3966.7906562140356</v>
      </c>
      <c r="I346" s="61"/>
      <c r="P346" s="36">
        <v>0.1</v>
      </c>
      <c r="Q346" s="29">
        <v>0.02</v>
      </c>
    </row>
    <row r="347" spans="1:17" x14ac:dyDescent="0.35">
      <c r="B347" s="10" t="s">
        <v>223</v>
      </c>
      <c r="C347" s="61"/>
      <c r="D347" s="60">
        <f>-J15*(1-J307)</f>
        <v>-589.66991999999993</v>
      </c>
      <c r="E347" s="60">
        <f t="shared" ref="E347:H347" si="241">-K15*(1-K307)</f>
        <v>-600.45411767039991</v>
      </c>
      <c r="F347" s="60">
        <f t="shared" si="241"/>
        <v>-608.95573938460814</v>
      </c>
      <c r="G347" s="60">
        <f t="shared" si="241"/>
        <v>-636.72633488816359</v>
      </c>
      <c r="H347" s="60">
        <f t="shared" si="241"/>
        <v>-665.94087720961863</v>
      </c>
      <c r="I347" s="61"/>
    </row>
    <row r="348" spans="1:17" x14ac:dyDescent="0.35">
      <c r="B348" s="10" t="s">
        <v>220</v>
      </c>
      <c r="C348" s="61"/>
      <c r="D348" s="60">
        <f>SUM(D345:D347)</f>
        <v>3983.9941680141651</v>
      </c>
      <c r="E348" s="60">
        <f t="shared" ref="E348:H348" ca="1" si="242">SUM(E345:E347)</f>
        <v>4964.5114824530237</v>
      </c>
      <c r="F348" s="60">
        <f t="shared" ca="1" si="242"/>
        <v>5325.9170499374814</v>
      </c>
      <c r="G348" s="60">
        <f t="shared" ca="1" si="242"/>
        <v>5477.003825162763</v>
      </c>
      <c r="H348" s="60">
        <f t="shared" ca="1" si="242"/>
        <v>5811.5149233555085</v>
      </c>
      <c r="I348" s="61">
        <f ca="1">(H348*(1+Q346))/(P346-Q346)</f>
        <v>74096.81527278274</v>
      </c>
    </row>
    <row r="349" spans="1:17" x14ac:dyDescent="0.35">
      <c r="B349" s="10" t="s">
        <v>225</v>
      </c>
      <c r="C349" s="61"/>
      <c r="D349" s="67">
        <f>D348/(1+$P$346)</f>
        <v>3621.812880012877</v>
      </c>
      <c r="E349" s="67">
        <f ca="1">E348/(1+$P$346)^1</f>
        <v>4513.1922567754755</v>
      </c>
      <c r="F349" s="67">
        <f ca="1">F348/(1+$P$346)^2</f>
        <v>4401.5843387913064</v>
      </c>
      <c r="G349" s="67">
        <f ca="1">G348/(1+$P$346)^3</f>
        <v>4114.9540384393395</v>
      </c>
      <c r="H349" s="67">
        <f ca="1">H348/(1+P346)^4</f>
        <v>3969.3428887067189</v>
      </c>
      <c r="I349" s="68">
        <f ca="1">I348/(1+P346)^4</f>
        <v>50609.121831010671</v>
      </c>
    </row>
    <row r="350" spans="1:17" x14ac:dyDescent="0.35">
      <c r="B350" s="10" t="s">
        <v>227</v>
      </c>
      <c r="C350" s="61">
        <f ca="1">SUM(D349:I349)</f>
        <v>71230.008233736386</v>
      </c>
    </row>
    <row r="351" spans="1:17" x14ac:dyDescent="0.35">
      <c r="B351" s="10" t="s">
        <v>228</v>
      </c>
      <c r="C351" s="61">
        <v>575.1</v>
      </c>
    </row>
    <row r="352" spans="1:17" x14ac:dyDescent="0.35">
      <c r="B352" s="10" t="s">
        <v>229</v>
      </c>
      <c r="C352" s="61">
        <f ca="1">C350/C351</f>
        <v>123.8567348873872</v>
      </c>
    </row>
    <row r="353" spans="1:15" x14ac:dyDescent="0.35">
      <c r="B353" s="10" t="s">
        <v>234</v>
      </c>
      <c r="C353" s="61">
        <v>98</v>
      </c>
    </row>
    <row r="354" spans="1:15" x14ac:dyDescent="0.35">
      <c r="B354" s="38" t="s">
        <v>233</v>
      </c>
      <c r="C354" s="62">
        <f ca="1">(C352-C353)/C353</f>
        <v>0.26384423354476738</v>
      </c>
    </row>
    <row r="356" spans="1:15" x14ac:dyDescent="0.35">
      <c r="M356" s="85" t="s">
        <v>235</v>
      </c>
      <c r="N356" s="85"/>
      <c r="O356" s="85"/>
    </row>
    <row r="357" spans="1:15" x14ac:dyDescent="0.35">
      <c r="A357" t="s">
        <v>68</v>
      </c>
      <c r="B357" t="s">
        <v>230</v>
      </c>
      <c r="D357" s="5" t="s">
        <v>9</v>
      </c>
      <c r="E357" s="5" t="s">
        <v>10</v>
      </c>
      <c r="F357" s="5" t="s">
        <v>66</v>
      </c>
      <c r="G357" s="5" t="s">
        <v>67</v>
      </c>
      <c r="H357" s="5" t="s">
        <v>254</v>
      </c>
      <c r="M357" t="s">
        <v>231</v>
      </c>
      <c r="N357" t="s">
        <v>232</v>
      </c>
      <c r="O357" t="s">
        <v>256</v>
      </c>
    </row>
    <row r="358" spans="1:15" x14ac:dyDescent="0.35">
      <c r="B358" t="s">
        <v>191</v>
      </c>
      <c r="D358" s="20">
        <f>J315</f>
        <v>5027.3700799999997</v>
      </c>
      <c r="E358" s="20">
        <f t="shared" ref="E358:H358" si="243">K315</f>
        <v>5306.8370343295992</v>
      </c>
      <c r="F358" s="20">
        <f t="shared" si="243"/>
        <v>5581.4743405353929</v>
      </c>
      <c r="G358" s="20">
        <f t="shared" si="243"/>
        <v>5854.2513154166372</v>
      </c>
      <c r="H358" s="20">
        <f t="shared" si="243"/>
        <v>6140.2114735438299</v>
      </c>
      <c r="M358" s="27">
        <v>14.3</v>
      </c>
      <c r="N358" s="27">
        <v>14.9</v>
      </c>
    </row>
    <row r="359" spans="1:15" x14ac:dyDescent="0.35">
      <c r="I359" s="86" t="s">
        <v>236</v>
      </c>
      <c r="J359" s="87"/>
      <c r="K359" s="88"/>
      <c r="L359">
        <v>2024</v>
      </c>
      <c r="M359">
        <f>(M358*D358)/C351</f>
        <v>125.00676776908362</v>
      </c>
      <c r="N359">
        <f>(N358*E358)/$C$351</f>
        <v>137.49238708313516</v>
      </c>
      <c r="O359" s="24">
        <f>(AVERAGE(M359:N359)-$C$353)/$C$353</f>
        <v>0.33928140230723874</v>
      </c>
    </row>
    <row r="360" spans="1:15" x14ac:dyDescent="0.35">
      <c r="I360" s="89">
        <f ca="1">AVERAGE(C352,M359:N359)</f>
        <v>128.78529657986866</v>
      </c>
      <c r="J360" s="90"/>
      <c r="K360" s="91"/>
      <c r="L360">
        <v>2025</v>
      </c>
      <c r="M360">
        <f>(M358*E358)/C351</f>
        <v>131.95578089186796</v>
      </c>
      <c r="N360">
        <f>(N358*E358)/C351</f>
        <v>137.49238708313516</v>
      </c>
      <c r="O360" s="24">
        <f>((AVERAGE(M360:N360)-$C$353)/$C$353)/1.1</f>
        <v>0.34066868262988453</v>
      </c>
    </row>
    <row r="361" spans="1:15" x14ac:dyDescent="0.35">
      <c r="L361">
        <v>2026</v>
      </c>
      <c r="M361">
        <f>(M358*F358)/C351</f>
        <v>138.78470365094091</v>
      </c>
      <c r="N361">
        <f>(N358*F358)/C351</f>
        <v>144.60783806986151</v>
      </c>
      <c r="O361" s="24">
        <f>((AVERAGE(M361:N361)-$C$353)/$C$353)/(1.1^2)</f>
        <v>0.36849612801822584</v>
      </c>
    </row>
    <row r="362" spans="1:15" x14ac:dyDescent="0.35">
      <c r="L362">
        <v>2027</v>
      </c>
      <c r="M362" s="26">
        <f>(M358*G358)/C351</f>
        <v>145.56736882360966</v>
      </c>
      <c r="N362">
        <f>(N358*G358)/C351</f>
        <v>151.67509059243244</v>
      </c>
      <c r="O362" s="24">
        <f>((AVERAGE(M362:N362)-$C$353)/$C$353)/(1.1^3)</f>
        <v>0.38808652162729446</v>
      </c>
    </row>
    <row r="363" spans="1:15" x14ac:dyDescent="0.35">
      <c r="L363">
        <v>2028</v>
      </c>
      <c r="M363" s="65">
        <f>(M358*H358)/C351</f>
        <v>152.67783702256438</v>
      </c>
      <c r="N363" s="65">
        <f>(N358*H358)/C351</f>
        <v>159.0839001144202</v>
      </c>
      <c r="O363" s="24">
        <f>((AVERAGE(M363:N363)-$C$353)/$C$353)/(1.1^4)</f>
        <v>0.40340216367854526</v>
      </c>
    </row>
  </sheetData>
  <mergeCells count="3">
    <mergeCell ref="M356:O356"/>
    <mergeCell ref="I359:K359"/>
    <mergeCell ref="I360:K36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0D8F-C8A3-4270-9C29-416214B9D84C}">
  <dimension ref="P4:AM88"/>
  <sheetViews>
    <sheetView topLeftCell="I7" zoomScale="70" zoomScaleNormal="70" workbookViewId="0">
      <selection activeCell="AW14" sqref="AW14"/>
    </sheetView>
  </sheetViews>
  <sheetFormatPr defaultRowHeight="14.5" x14ac:dyDescent="0.35"/>
  <cols>
    <col min="2" max="2" width="44.6328125" bestFit="1" customWidth="1"/>
    <col min="4" max="12" width="9.90625" bestFit="1" customWidth="1"/>
    <col min="14" max="17" width="11" bestFit="1" customWidth="1"/>
    <col min="23" max="23" width="41.1796875" bestFit="1" customWidth="1"/>
    <col min="24" max="24" width="8.90625" customWidth="1"/>
    <col min="25" max="25" width="18.6328125" hidden="1" customWidth="1"/>
    <col min="26" max="34" width="9.90625" hidden="1" customWidth="1"/>
    <col min="35" max="38" width="14.54296875" bestFit="1" customWidth="1"/>
    <col min="39" max="39" width="14.7265625" bestFit="1" customWidth="1"/>
  </cols>
  <sheetData>
    <row r="4" spans="23:39" x14ac:dyDescent="0.35">
      <c r="W4" s="4" t="s">
        <v>1</v>
      </c>
      <c r="X4" s="4"/>
      <c r="Y4" s="5" t="s">
        <v>69</v>
      </c>
      <c r="Z4" s="5" t="s">
        <v>70</v>
      </c>
      <c r="AA4" s="5" t="s">
        <v>71</v>
      </c>
      <c r="AB4" s="5" t="s">
        <v>2</v>
      </c>
      <c r="AC4" s="5" t="s">
        <v>3</v>
      </c>
      <c r="AD4" s="5" t="s">
        <v>4</v>
      </c>
      <c r="AE4" s="5" t="s">
        <v>5</v>
      </c>
      <c r="AF4" s="5" t="s">
        <v>6</v>
      </c>
      <c r="AG4" s="5" t="s">
        <v>7</v>
      </c>
      <c r="AH4" s="5" t="s">
        <v>8</v>
      </c>
      <c r="AI4" s="5" t="s">
        <v>9</v>
      </c>
      <c r="AJ4" s="5" t="s">
        <v>10</v>
      </c>
      <c r="AK4" s="5" t="s">
        <v>66</v>
      </c>
      <c r="AL4" s="5" t="s">
        <v>67</v>
      </c>
      <c r="AM4" s="5" t="s">
        <v>254</v>
      </c>
    </row>
    <row r="5" spans="23:39" x14ac:dyDescent="0.35">
      <c r="W5" s="6" t="s">
        <v>11</v>
      </c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</row>
    <row r="6" spans="23:39" x14ac:dyDescent="0.35">
      <c r="W6" s="8" t="s">
        <v>148</v>
      </c>
      <c r="X6" s="72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43"/>
      <c r="AJ6" s="43"/>
      <c r="AK6" s="43"/>
      <c r="AL6" s="43"/>
      <c r="AM6" s="43"/>
    </row>
    <row r="7" spans="23:39" x14ac:dyDescent="0.35">
      <c r="W7" s="21" t="s">
        <v>149</v>
      </c>
      <c r="X7" s="10"/>
      <c r="Y7" s="11">
        <f t="shared" ref="Y7:AH7" si="0">SUM(Y8,Y10,Y14)</f>
        <v>5823</v>
      </c>
      <c r="Z7" s="11">
        <f t="shared" si="0"/>
        <v>5803</v>
      </c>
      <c r="AA7" s="11">
        <f t="shared" si="0"/>
        <v>6297.98</v>
      </c>
      <c r="AB7" s="11">
        <f t="shared" si="0"/>
        <v>6944.6</v>
      </c>
      <c r="AC7" s="11">
        <f t="shared" si="0"/>
        <v>7255.58</v>
      </c>
      <c r="AD7" s="11">
        <f t="shared" si="0"/>
        <v>8544.58</v>
      </c>
      <c r="AE7" s="11">
        <f t="shared" si="0"/>
        <v>5837.8</v>
      </c>
      <c r="AF7" s="11">
        <f t="shared" si="0"/>
        <v>7047</v>
      </c>
      <c r="AG7" s="11">
        <f t="shared" si="0"/>
        <v>9161</v>
      </c>
      <c r="AH7" s="11">
        <f t="shared" si="0"/>
        <v>10932</v>
      </c>
      <c r="AI7" s="11">
        <f>SUM(AI8,AI10,AI14)</f>
        <v>11431.06</v>
      </c>
      <c r="AJ7" s="11">
        <f t="shared" ref="AJ7:AL7" si="1">SUM(AJ8,AJ10,AJ14)</f>
        <v>11956.804400000001</v>
      </c>
      <c r="AK7" s="11">
        <f t="shared" si="1"/>
        <v>12510.840394000003</v>
      </c>
      <c r="AL7" s="11">
        <f t="shared" si="1"/>
        <v>13094.879197160002</v>
      </c>
      <c r="AM7" s="11">
        <f t="shared" ref="AM7" si="2">SUM(AM8,AM10,AM14)</f>
        <v>13710.743039758603</v>
      </c>
    </row>
    <row r="8" spans="23:39" x14ac:dyDescent="0.35">
      <c r="W8" s="21" t="s">
        <v>156</v>
      </c>
      <c r="X8" s="10"/>
      <c r="Y8" s="14">
        <v>4743</v>
      </c>
      <c r="Z8" s="14">
        <v>4881</v>
      </c>
      <c r="AA8" s="14">
        <v>5111.49</v>
      </c>
      <c r="AB8" s="14">
        <v>5277.3</v>
      </c>
      <c r="AC8" s="14">
        <v>5356</v>
      </c>
      <c r="AD8" s="14">
        <v>5594.58</v>
      </c>
      <c r="AE8" s="14">
        <v>4612.8</v>
      </c>
      <c r="AF8" s="14">
        <v>5550</v>
      </c>
      <c r="AG8" s="14">
        <v>6003</v>
      </c>
      <c r="AH8" s="14">
        <v>6324</v>
      </c>
      <c r="AI8" s="14">
        <f>AH8*(1+AI9)</f>
        <v>6513.72</v>
      </c>
      <c r="AJ8" s="14">
        <f t="shared" ref="AJ8:AK8" si="3">AI8*(1+AJ9)</f>
        <v>6709.1316000000006</v>
      </c>
      <c r="AK8" s="14">
        <f t="shared" si="3"/>
        <v>6910.4055480000006</v>
      </c>
      <c r="AL8" s="14">
        <f>AK8*(1+AL9)</f>
        <v>7117.7177144400011</v>
      </c>
      <c r="AM8" s="14">
        <f>AL8*(1+AM9)</f>
        <v>7331.2492458732013</v>
      </c>
    </row>
    <row r="9" spans="23:39" x14ac:dyDescent="0.35">
      <c r="W9" s="21" t="s">
        <v>160</v>
      </c>
      <c r="X9" s="10"/>
      <c r="Y9" s="23"/>
      <c r="Z9" s="23">
        <f>(Z8-Y8)/Y8</f>
        <v>2.9095509171410499E-2</v>
      </c>
      <c r="AA9" s="23">
        <f t="shared" ref="AA9:AH9" si="4">(AA8-Z8)/Z8</f>
        <v>4.722188076213886E-2</v>
      </c>
      <c r="AB9" s="23">
        <f>(AB8-AA8)/AA8</f>
        <v>3.2438682262901898E-2</v>
      </c>
      <c r="AC9" s="23">
        <f t="shared" si="4"/>
        <v>1.4912928959884754E-2</v>
      </c>
      <c r="AD9" s="23">
        <f t="shared" si="4"/>
        <v>4.4544436146377882E-2</v>
      </c>
      <c r="AE9" s="23">
        <f t="shared" si="4"/>
        <v>-0.17548770417082243</v>
      </c>
      <c r="AF9" s="23">
        <f t="shared" si="4"/>
        <v>0.20317377731529651</v>
      </c>
      <c r="AG9" s="23">
        <f t="shared" si="4"/>
        <v>8.1621621621621621E-2</v>
      </c>
      <c r="AH9" s="23">
        <f t="shared" si="4"/>
        <v>5.3473263368315843E-2</v>
      </c>
      <c r="AI9" s="34">
        <v>0.03</v>
      </c>
      <c r="AJ9" s="34">
        <v>0.03</v>
      </c>
      <c r="AK9" s="34">
        <v>0.03</v>
      </c>
      <c r="AL9" s="34">
        <v>0.03</v>
      </c>
      <c r="AM9" s="34">
        <v>0.03</v>
      </c>
    </row>
    <row r="10" spans="23:39" x14ac:dyDescent="0.35">
      <c r="W10" s="21" t="s">
        <v>157</v>
      </c>
      <c r="X10" s="10"/>
      <c r="Y10" s="15">
        <v>717</v>
      </c>
      <c r="Z10" s="15">
        <v>820</v>
      </c>
      <c r="AA10" s="15">
        <v>1055.49</v>
      </c>
      <c r="AB10" s="15">
        <v>1409</v>
      </c>
      <c r="AC10" s="15">
        <v>1601.58</v>
      </c>
      <c r="AD10" s="15">
        <v>2631</v>
      </c>
      <c r="AE10" s="15">
        <v>990</v>
      </c>
      <c r="AF10" s="15">
        <v>1188</v>
      </c>
      <c r="AG10" s="15">
        <v>2679</v>
      </c>
      <c r="AH10" s="15">
        <v>3947</v>
      </c>
      <c r="AI10" s="15">
        <f>AH10*(1+AI11)</f>
        <v>4223.29</v>
      </c>
      <c r="AJ10" s="15">
        <f t="shared" ref="AJ10:AM10" si="5">AI10*(1+AJ11)</f>
        <v>4518.9202999999998</v>
      </c>
      <c r="AK10" s="15">
        <f t="shared" si="5"/>
        <v>4835.244721</v>
      </c>
      <c r="AL10" s="15">
        <f t="shared" si="5"/>
        <v>5173.7118514700005</v>
      </c>
      <c r="AM10" s="15">
        <f t="shared" si="5"/>
        <v>5535.8716810729011</v>
      </c>
    </row>
    <row r="11" spans="23:39" x14ac:dyDescent="0.35">
      <c r="W11" s="21" t="s">
        <v>160</v>
      </c>
      <c r="X11" s="10"/>
      <c r="Y11" s="15"/>
      <c r="Z11" s="31">
        <f>(Z10-Y10)/Y10</f>
        <v>0.14365411436541142</v>
      </c>
      <c r="AA11" s="31">
        <f t="shared" ref="AA11:AH11" si="6">(AA10-Z10)/Z10</f>
        <v>0.28718292682926833</v>
      </c>
      <c r="AB11" s="31">
        <f>(AB10-AA10)/AA10</f>
        <v>0.3349250111322703</v>
      </c>
      <c r="AC11" s="31">
        <f t="shared" si="6"/>
        <v>0.1366784953867991</v>
      </c>
      <c r="AD11" s="31">
        <f t="shared" si="6"/>
        <v>0.64275278162814231</v>
      </c>
      <c r="AE11" s="31">
        <f t="shared" si="6"/>
        <v>-0.62371721778791334</v>
      </c>
      <c r="AF11" s="31">
        <f t="shared" si="6"/>
        <v>0.2</v>
      </c>
      <c r="AG11" s="31">
        <f t="shared" si="6"/>
        <v>1.255050505050505</v>
      </c>
      <c r="AH11" s="31">
        <f t="shared" si="6"/>
        <v>0.47331093691675996</v>
      </c>
      <c r="AI11" s="74">
        <v>7.0000000000000007E-2</v>
      </c>
      <c r="AJ11" s="74">
        <v>7.0000000000000007E-2</v>
      </c>
      <c r="AK11" s="74">
        <v>7.0000000000000007E-2</v>
      </c>
      <c r="AL11" s="74">
        <v>7.0000000000000007E-2</v>
      </c>
      <c r="AM11" s="74">
        <v>7.0000000000000007E-2</v>
      </c>
    </row>
    <row r="12" spans="23:39" x14ac:dyDescent="0.35">
      <c r="W12" s="21" t="s">
        <v>159</v>
      </c>
      <c r="X12" s="10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23:39" x14ac:dyDescent="0.35">
      <c r="W13" s="21" t="s">
        <v>160</v>
      </c>
      <c r="X13" s="10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23:39" x14ac:dyDescent="0.35">
      <c r="W14" s="21" t="s">
        <v>158</v>
      </c>
      <c r="X14" s="10"/>
      <c r="Y14" s="11">
        <v>363</v>
      </c>
      <c r="Z14" s="11">
        <v>102</v>
      </c>
      <c r="AA14" s="11">
        <v>131</v>
      </c>
      <c r="AB14" s="11">
        <v>258.3</v>
      </c>
      <c r="AC14" s="11">
        <v>298</v>
      </c>
      <c r="AD14" s="11">
        <v>319</v>
      </c>
      <c r="AE14" s="11">
        <v>235</v>
      </c>
      <c r="AF14" s="11">
        <v>309</v>
      </c>
      <c r="AG14" s="11">
        <v>479</v>
      </c>
      <c r="AH14" s="11">
        <v>661</v>
      </c>
      <c r="AI14" s="11">
        <f>AH14*(1+AI15)</f>
        <v>694.05000000000007</v>
      </c>
      <c r="AJ14" s="11">
        <f t="shared" ref="AJ14:AM14" si="7">AI14*(1+AJ15)</f>
        <v>728.75250000000005</v>
      </c>
      <c r="AK14" s="11">
        <f t="shared" si="7"/>
        <v>765.19012500000008</v>
      </c>
      <c r="AL14" s="11">
        <f t="shared" si="7"/>
        <v>803.44963125000015</v>
      </c>
      <c r="AM14" s="11">
        <f t="shared" si="7"/>
        <v>843.62211281250018</v>
      </c>
    </row>
    <row r="15" spans="23:39" x14ac:dyDescent="0.35">
      <c r="W15" s="21" t="s">
        <v>160</v>
      </c>
      <c r="X15" s="10"/>
      <c r="Y15" s="15"/>
      <c r="Z15" s="31">
        <f>(Z14-Y14)/Y14</f>
        <v>-0.71900826446280997</v>
      </c>
      <c r="AA15" s="31">
        <f t="shared" ref="AA15:AH15" si="8">(AA14-Z14)/Z14</f>
        <v>0.28431372549019607</v>
      </c>
      <c r="AB15" s="31">
        <f>(AB14-AA14)/AA14</f>
        <v>0.97175572519083975</v>
      </c>
      <c r="AC15" s="31">
        <f t="shared" si="8"/>
        <v>0.15369725125822681</v>
      </c>
      <c r="AD15" s="31">
        <f t="shared" si="8"/>
        <v>7.0469798657718116E-2</v>
      </c>
      <c r="AE15" s="31">
        <f t="shared" si="8"/>
        <v>-0.26332288401253917</v>
      </c>
      <c r="AF15" s="31">
        <f t="shared" si="8"/>
        <v>0.31489361702127661</v>
      </c>
      <c r="AG15" s="31">
        <f t="shared" si="8"/>
        <v>0.55016181229773464</v>
      </c>
      <c r="AH15" s="31">
        <f t="shared" si="8"/>
        <v>0.37995824634655534</v>
      </c>
      <c r="AI15" s="74">
        <v>0.05</v>
      </c>
      <c r="AJ15" s="74">
        <v>0.05</v>
      </c>
      <c r="AK15" s="74">
        <v>0.05</v>
      </c>
      <c r="AL15" s="74">
        <v>0.05</v>
      </c>
      <c r="AM15" s="74">
        <v>0.05</v>
      </c>
    </row>
    <row r="16" spans="23:39" x14ac:dyDescent="0.35">
      <c r="W16" s="21">
        <v>0</v>
      </c>
      <c r="X16" s="10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6:39" x14ac:dyDescent="0.35">
      <c r="W17" s="21" t="s">
        <v>162</v>
      </c>
      <c r="X17" s="10"/>
      <c r="Y17" s="14"/>
      <c r="Z17" s="14"/>
      <c r="AA17" s="31">
        <f>AA18/AA7</f>
        <v>0.46888049819148364</v>
      </c>
      <c r="AB17" s="31">
        <f t="shared" ref="AB17:AH17" si="9">AB18/AB7</f>
        <v>0.46813351380929064</v>
      </c>
      <c r="AC17" s="31">
        <f t="shared" si="9"/>
        <v>0.47260177683934296</v>
      </c>
      <c r="AD17" s="31">
        <f t="shared" si="9"/>
        <v>0.46684564952285545</v>
      </c>
      <c r="AE17" s="31">
        <f t="shared" si="9"/>
        <v>0.27167768679982185</v>
      </c>
      <c r="AF17" s="31">
        <f t="shared" si="9"/>
        <v>0.38072938839222364</v>
      </c>
      <c r="AG17" s="31">
        <f t="shared" si="9"/>
        <v>0.45540879816613905</v>
      </c>
      <c r="AH17" s="31">
        <f t="shared" si="9"/>
        <v>0.49149286498353456</v>
      </c>
      <c r="AI17" s="31">
        <v>0.48</v>
      </c>
      <c r="AJ17" s="31">
        <v>0.48</v>
      </c>
      <c r="AK17" s="31">
        <v>0.48</v>
      </c>
      <c r="AL17" s="31">
        <v>0.48</v>
      </c>
      <c r="AM17" s="31">
        <v>0.48</v>
      </c>
    </row>
    <row r="18" spans="16:39" x14ac:dyDescent="0.35">
      <c r="W18" s="73" t="s">
        <v>163</v>
      </c>
      <c r="X18" s="37"/>
      <c r="Y18" s="39"/>
      <c r="Z18" s="39"/>
      <c r="AA18" s="39">
        <v>2953</v>
      </c>
      <c r="AB18" s="39">
        <v>3251</v>
      </c>
      <c r="AC18" s="39">
        <v>3429</v>
      </c>
      <c r="AD18" s="39">
        <v>3989</v>
      </c>
      <c r="AE18" s="39">
        <v>1586</v>
      </c>
      <c r="AF18" s="39">
        <v>2683</v>
      </c>
      <c r="AG18" s="39">
        <v>4172</v>
      </c>
      <c r="AH18" s="39">
        <v>5373</v>
      </c>
      <c r="AI18" s="77">
        <f>AI17*AI7</f>
        <v>5486.9087999999992</v>
      </c>
      <c r="AJ18" s="77">
        <f t="shared" ref="AJ18:AM18" si="10">AJ17*AJ7</f>
        <v>5739.2661120000002</v>
      </c>
      <c r="AK18" s="77">
        <f t="shared" si="10"/>
        <v>6005.2033891200008</v>
      </c>
      <c r="AL18" s="77">
        <f t="shared" si="10"/>
        <v>6285.5420146368006</v>
      </c>
      <c r="AM18" s="77">
        <f t="shared" si="10"/>
        <v>6581.1566590841294</v>
      </c>
    </row>
    <row r="21" spans="16:39" x14ac:dyDescent="0.35">
      <c r="W21" s="69" t="s">
        <v>151</v>
      </c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42"/>
      <c r="AJ21" s="42"/>
      <c r="AK21" s="42"/>
      <c r="AL21" s="42"/>
      <c r="AM21" s="42"/>
    </row>
    <row r="22" spans="16:39" x14ac:dyDescent="0.35">
      <c r="W22" s="10" t="s">
        <v>149</v>
      </c>
      <c r="X22" s="10"/>
      <c r="Y22" s="11">
        <v>587</v>
      </c>
      <c r="Z22" s="11">
        <v>707</v>
      </c>
      <c r="AA22" s="11">
        <v>774</v>
      </c>
      <c r="AB22" s="11">
        <v>896</v>
      </c>
      <c r="AC22" s="11">
        <v>1104</v>
      </c>
      <c r="AD22" s="11">
        <v>1320</v>
      </c>
      <c r="AE22" s="11">
        <v>1191</v>
      </c>
      <c r="AF22" s="11">
        <v>2197</v>
      </c>
      <c r="AG22" s="11">
        <v>2113</v>
      </c>
      <c r="AH22" s="11">
        <v>2011</v>
      </c>
      <c r="AI22" s="11">
        <f>AH22*(1+AI23)</f>
        <v>1005.5</v>
      </c>
      <c r="AJ22" s="11">
        <f t="shared" ref="AJ22:AM22" si="11">AI22*(1+AJ23)</f>
        <v>1005.5</v>
      </c>
      <c r="AK22" s="11">
        <f t="shared" si="11"/>
        <v>1106.0500000000002</v>
      </c>
      <c r="AL22" s="11">
        <f t="shared" si="11"/>
        <v>1216.6550000000002</v>
      </c>
      <c r="AM22" s="11">
        <f t="shared" si="11"/>
        <v>1338.3205000000003</v>
      </c>
    </row>
    <row r="23" spans="16:39" x14ac:dyDescent="0.35">
      <c r="P23">
        <f>AI7/AI54</f>
        <v>0.15872640743109509</v>
      </c>
      <c r="Q23">
        <f>AH18/AH56</f>
        <v>0.64293406724901281</v>
      </c>
      <c r="W23" s="10" t="s">
        <v>161</v>
      </c>
      <c r="X23" s="10"/>
      <c r="Y23" s="11"/>
      <c r="Z23" s="22">
        <f>(Z22-Y22)/Y22</f>
        <v>0.20442930153321975</v>
      </c>
      <c r="AA23" s="22">
        <f t="shared" ref="AA23:AH23" si="12">(AA22-Z22)/Z22</f>
        <v>9.4766619519094764E-2</v>
      </c>
      <c r="AB23" s="22">
        <f>(AB22-AA22)/AA22</f>
        <v>0.15762273901808785</v>
      </c>
      <c r="AC23" s="22">
        <f t="shared" si="12"/>
        <v>0.23214285714285715</v>
      </c>
      <c r="AD23" s="22">
        <f t="shared" si="12"/>
        <v>0.19565217391304349</v>
      </c>
      <c r="AE23" s="22">
        <f t="shared" si="12"/>
        <v>-9.7727272727272732E-2</v>
      </c>
      <c r="AF23" s="22">
        <f t="shared" si="12"/>
        <v>0.84466834592779172</v>
      </c>
      <c r="AG23" s="22">
        <f t="shared" si="12"/>
        <v>-3.823395539371871E-2</v>
      </c>
      <c r="AH23" s="22">
        <f t="shared" si="12"/>
        <v>-4.8272598201609083E-2</v>
      </c>
      <c r="AI23" s="79">
        <v>-0.5</v>
      </c>
      <c r="AJ23" s="79">
        <v>0</v>
      </c>
      <c r="AK23" s="79">
        <v>0.1</v>
      </c>
      <c r="AL23" s="79">
        <v>0.1</v>
      </c>
      <c r="AM23" s="79">
        <v>0.1</v>
      </c>
    </row>
    <row r="24" spans="16:39" x14ac:dyDescent="0.35">
      <c r="W24" s="10" t="s">
        <v>58</v>
      </c>
      <c r="X24" s="10"/>
      <c r="Y24" s="23">
        <f>Y25/Y22</f>
        <v>0.19080068143100512</v>
      </c>
      <c r="Z24" s="23">
        <f t="shared" ref="Z24:AH24" si="13">Z25/Z22</f>
        <v>0.12729844413012731</v>
      </c>
      <c r="AA24" s="23">
        <f t="shared" si="13"/>
        <v>8.7855297157622733E-2</v>
      </c>
      <c r="AB24" s="23">
        <f t="shared" si="13"/>
        <v>0.13058035714285715</v>
      </c>
      <c r="AC24" s="23">
        <f t="shared" si="13"/>
        <v>8.6050724637681153E-2</v>
      </c>
      <c r="AD24" s="23">
        <f t="shared" si="13"/>
        <v>6.9696969696969702E-2</v>
      </c>
      <c r="AE24" s="23">
        <f t="shared" si="13"/>
        <v>2.3509655751469353E-2</v>
      </c>
      <c r="AF24" s="23">
        <f t="shared" si="13"/>
        <v>3.8689121529358217E-2</v>
      </c>
      <c r="AG24" s="23">
        <f t="shared" si="13"/>
        <v>0</v>
      </c>
      <c r="AH24" s="23">
        <f t="shared" si="13"/>
        <v>-6.0666335156638489E-2</v>
      </c>
      <c r="AI24" s="23">
        <v>0.04</v>
      </c>
      <c r="AJ24" s="23">
        <v>0.04</v>
      </c>
      <c r="AK24" s="23">
        <v>0.04</v>
      </c>
      <c r="AL24" s="23">
        <v>0.04</v>
      </c>
      <c r="AM24" s="23">
        <v>0.04</v>
      </c>
    </row>
    <row r="25" spans="16:39" x14ac:dyDescent="0.35">
      <c r="W25" s="18" t="s">
        <v>150</v>
      </c>
      <c r="X25" s="18"/>
      <c r="Y25" s="19">
        <v>112</v>
      </c>
      <c r="Z25" s="19">
        <v>90</v>
      </c>
      <c r="AA25" s="19">
        <v>68</v>
      </c>
      <c r="AB25" s="19">
        <v>117</v>
      </c>
      <c r="AC25" s="19">
        <v>95</v>
      </c>
      <c r="AD25" s="19">
        <v>92</v>
      </c>
      <c r="AE25" s="19">
        <v>28</v>
      </c>
      <c r="AF25" s="19">
        <v>85</v>
      </c>
      <c r="AG25" s="19">
        <v>0</v>
      </c>
      <c r="AH25" s="19">
        <v>-122</v>
      </c>
      <c r="AI25" s="77">
        <f>AI24*AI22</f>
        <v>40.22</v>
      </c>
      <c r="AJ25" s="77">
        <f t="shared" ref="AJ25:AM25" si="14">AJ24*AJ22</f>
        <v>40.22</v>
      </c>
      <c r="AK25" s="77">
        <f t="shared" si="14"/>
        <v>44.242000000000012</v>
      </c>
      <c r="AL25" s="77">
        <f t="shared" si="14"/>
        <v>48.666200000000011</v>
      </c>
      <c r="AM25" s="77">
        <f t="shared" si="14"/>
        <v>53.532820000000015</v>
      </c>
    </row>
    <row r="27" spans="16:39" x14ac:dyDescent="0.35">
      <c r="AJ27" s="20"/>
    </row>
    <row r="28" spans="16:39" x14ac:dyDescent="0.35">
      <c r="W28" s="82" t="s">
        <v>154</v>
      </c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8"/>
    </row>
    <row r="29" spans="16:39" x14ac:dyDescent="0.35">
      <c r="W29" s="10" t="s">
        <v>21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>
        <v>5520</v>
      </c>
      <c r="AH29" s="11">
        <v>6495</v>
      </c>
      <c r="AI29" s="11">
        <f>AH29*(1+AI30)</f>
        <v>6884.7000000000007</v>
      </c>
      <c r="AJ29" s="11">
        <f t="shared" ref="AJ29:AM29" si="15">AI29*(1+AJ30)</f>
        <v>7297.7820000000011</v>
      </c>
      <c r="AK29" s="11">
        <f t="shared" si="15"/>
        <v>7735.6489200000015</v>
      </c>
      <c r="AL29" s="11">
        <f t="shared" si="15"/>
        <v>8199.787855200002</v>
      </c>
      <c r="AM29" s="11">
        <f t="shared" si="15"/>
        <v>8691.7751265120023</v>
      </c>
    </row>
    <row r="30" spans="16:39" x14ac:dyDescent="0.35">
      <c r="W30" s="10" t="s">
        <v>160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23">
        <f>(AH29-AG29)/AG29</f>
        <v>0.1766304347826087</v>
      </c>
      <c r="AI30" s="74">
        <v>0.06</v>
      </c>
      <c r="AJ30" s="74">
        <v>0.06</v>
      </c>
      <c r="AK30" s="74">
        <v>0.06</v>
      </c>
      <c r="AL30" s="74">
        <v>0.06</v>
      </c>
      <c r="AM30" s="74">
        <v>0.06</v>
      </c>
    </row>
    <row r="31" spans="16:39" x14ac:dyDescent="0.35">
      <c r="W31" s="10" t="s">
        <v>58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>
        <f>AG32/AG29</f>
        <v>7.4456521739130435E-2</v>
      </c>
      <c r="AH31" s="23">
        <f>AH32/AH29</f>
        <v>7.544264819091609E-2</v>
      </c>
      <c r="AI31" s="74">
        <v>7.4999999999999997E-2</v>
      </c>
      <c r="AJ31" s="74">
        <v>7.4999999999999997E-2</v>
      </c>
      <c r="AK31" s="74">
        <v>7.4999999999999997E-2</v>
      </c>
      <c r="AL31" s="74">
        <v>7.4999999999999997E-2</v>
      </c>
      <c r="AM31" s="74">
        <v>7.4999999999999997E-2</v>
      </c>
    </row>
    <row r="32" spans="16:39" x14ac:dyDescent="0.35">
      <c r="W32" s="18" t="s">
        <v>163</v>
      </c>
      <c r="X32" s="39"/>
      <c r="Y32" s="39"/>
      <c r="Z32" s="39"/>
      <c r="AA32" s="39"/>
      <c r="AB32" s="39"/>
      <c r="AC32" s="39"/>
      <c r="AD32" s="39"/>
      <c r="AE32" s="39"/>
      <c r="AF32" s="39"/>
      <c r="AG32" s="39">
        <v>411</v>
      </c>
      <c r="AH32" s="39">
        <v>490</v>
      </c>
      <c r="AI32" s="77">
        <f>AI31*AI29</f>
        <v>516.35250000000008</v>
      </c>
      <c r="AJ32" s="77">
        <f t="shared" ref="AJ32:AL32" si="16">AJ31*AJ29</f>
        <v>547.33365000000003</v>
      </c>
      <c r="AK32" s="77">
        <f t="shared" si="16"/>
        <v>580.17366900000013</v>
      </c>
      <c r="AL32" s="77">
        <f t="shared" si="16"/>
        <v>614.98408914000015</v>
      </c>
      <c r="AM32" s="78">
        <f>AM31*AM29</f>
        <v>651.88313448840017</v>
      </c>
    </row>
    <row r="33" spans="23:39" x14ac:dyDescent="0.35">
      <c r="W33" s="25"/>
    </row>
    <row r="35" spans="23:39" x14ac:dyDescent="0.35">
      <c r="W35" s="69" t="s">
        <v>152</v>
      </c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75"/>
    </row>
    <row r="36" spans="23:39" x14ac:dyDescent="0.35">
      <c r="W36" s="10" t="s">
        <v>149</v>
      </c>
      <c r="X36" s="11"/>
      <c r="Y36" s="11">
        <v>15419</v>
      </c>
      <c r="Z36" s="11">
        <v>14491</v>
      </c>
      <c r="AA36" s="11">
        <v>13681</v>
      </c>
      <c r="AB36" s="11">
        <v>13960</v>
      </c>
      <c r="AC36" s="11">
        <v>14231</v>
      </c>
      <c r="AD36" s="11">
        <v>14926</v>
      </c>
      <c r="AE36" s="11">
        <v>23149</v>
      </c>
      <c r="AF36" s="11">
        <v>26282</v>
      </c>
      <c r="AG36" s="11">
        <v>29252</v>
      </c>
      <c r="AH36" s="11">
        <v>31459</v>
      </c>
      <c r="AI36" s="11">
        <f>AH36*(1+AI37)</f>
        <v>32402.77</v>
      </c>
      <c r="AJ36" s="11">
        <f t="shared" ref="AJ36:AM36" si="17">AI36*(1+AJ37)</f>
        <v>33374.8531</v>
      </c>
      <c r="AK36" s="11">
        <f t="shared" si="17"/>
        <v>34376.098693</v>
      </c>
      <c r="AL36" s="11">
        <f t="shared" si="17"/>
        <v>35407.381653789998</v>
      </c>
      <c r="AM36" s="11">
        <f t="shared" si="17"/>
        <v>36469.603103403701</v>
      </c>
    </row>
    <row r="37" spans="23:39" x14ac:dyDescent="0.35">
      <c r="W37" s="10" t="s">
        <v>161</v>
      </c>
      <c r="X37" s="11"/>
      <c r="Y37" s="11"/>
      <c r="Z37" s="23">
        <f>(Z36-Y36)/Y36</f>
        <v>-6.0185485440041507E-2</v>
      </c>
      <c r="AA37" s="23">
        <f t="shared" ref="AA37:AH37" si="18">(AA36-Z36)/Z36</f>
        <v>-5.5896763508384517E-2</v>
      </c>
      <c r="AB37" s="23">
        <f>(AB36-AA36)/AA36</f>
        <v>2.0393246107740664E-2</v>
      </c>
      <c r="AC37" s="23">
        <f t="shared" si="18"/>
        <v>1.9412607449856734E-2</v>
      </c>
      <c r="AD37" s="23">
        <f t="shared" si="18"/>
        <v>4.8837045885742392E-2</v>
      </c>
      <c r="AE37" s="23">
        <f t="shared" si="18"/>
        <v>0.55091786144981914</v>
      </c>
      <c r="AF37" s="23">
        <f t="shared" si="18"/>
        <v>0.13534061946520368</v>
      </c>
      <c r="AG37" s="23">
        <f t="shared" si="18"/>
        <v>0.11300509854653375</v>
      </c>
      <c r="AH37" s="23">
        <f t="shared" si="18"/>
        <v>7.5447832626828928E-2</v>
      </c>
      <c r="AI37" s="74">
        <f>0.03</f>
        <v>0.03</v>
      </c>
      <c r="AJ37" s="74">
        <f t="shared" ref="AJ37:AL37" si="19">0.03</f>
        <v>0.03</v>
      </c>
      <c r="AK37" s="74">
        <f t="shared" si="19"/>
        <v>0.03</v>
      </c>
      <c r="AL37" s="74">
        <f t="shared" si="19"/>
        <v>0.03</v>
      </c>
      <c r="AM37" s="74">
        <f t="shared" ref="AM37" si="20">0.03</f>
        <v>0.03</v>
      </c>
    </row>
    <row r="38" spans="23:39" x14ac:dyDescent="0.35">
      <c r="W38" s="10" t="s">
        <v>58</v>
      </c>
      <c r="X38" s="23"/>
      <c r="Y38" s="23">
        <f>Y39/Y36</f>
        <v>2.068876062001427E-2</v>
      </c>
      <c r="Z38" s="23">
        <f t="shared" ref="Z38:AH38" si="21">Z39/Z36</f>
        <v>1.7045062452556759E-2</v>
      </c>
      <c r="AA38" s="23">
        <f t="shared" si="21"/>
        <v>2.4121043783349172E-2</v>
      </c>
      <c r="AB38" s="23">
        <f t="shared" si="21"/>
        <v>2.3137535816618912E-2</v>
      </c>
      <c r="AC38" s="23">
        <f t="shared" si="21"/>
        <v>2.8107652308340947E-2</v>
      </c>
      <c r="AD38" s="23">
        <f t="shared" si="21"/>
        <v>2.6530885702800482E-2</v>
      </c>
      <c r="AE38" s="23">
        <f t="shared" si="21"/>
        <v>2.0303252840295476E-2</v>
      </c>
      <c r="AF38" s="23">
        <f t="shared" si="21"/>
        <v>3.6831291378129516E-2</v>
      </c>
      <c r="AG38" s="23">
        <f t="shared" si="21"/>
        <v>3.7604266374948722E-2</v>
      </c>
      <c r="AH38" s="23">
        <f t="shared" si="21"/>
        <v>4.005213134556089E-2</v>
      </c>
      <c r="AI38" s="74">
        <v>0.04</v>
      </c>
      <c r="AJ38" s="74">
        <v>0.04</v>
      </c>
      <c r="AK38" s="74">
        <v>0.04</v>
      </c>
      <c r="AL38" s="74">
        <v>0.04</v>
      </c>
      <c r="AM38" s="74">
        <v>0.04</v>
      </c>
    </row>
    <row r="39" spans="23:39" x14ac:dyDescent="0.35">
      <c r="W39" s="18" t="s">
        <v>150</v>
      </c>
      <c r="X39" s="19"/>
      <c r="Y39" s="19">
        <v>319</v>
      </c>
      <c r="Z39" s="19">
        <v>247</v>
      </c>
      <c r="AA39" s="19">
        <v>330</v>
      </c>
      <c r="AB39" s="19">
        <v>323</v>
      </c>
      <c r="AC39" s="19">
        <v>400</v>
      </c>
      <c r="AD39" s="19">
        <v>396</v>
      </c>
      <c r="AE39" s="19">
        <v>470</v>
      </c>
      <c r="AF39" s="19">
        <v>968</v>
      </c>
      <c r="AG39" s="19">
        <v>1100</v>
      </c>
      <c r="AH39" s="19">
        <v>1260</v>
      </c>
      <c r="AI39" s="19">
        <f>AI38*AI36</f>
        <v>1296.1108000000002</v>
      </c>
      <c r="AJ39" s="19">
        <f t="shared" ref="AJ39:AL39" si="22">AJ38*AJ36</f>
        <v>1334.9941240000001</v>
      </c>
      <c r="AK39" s="19">
        <f t="shared" si="22"/>
        <v>1375.04394772</v>
      </c>
      <c r="AL39" s="19">
        <f t="shared" si="22"/>
        <v>1416.2952661515999</v>
      </c>
      <c r="AM39" s="19">
        <f>AM38*AM36</f>
        <v>1458.784124136148</v>
      </c>
    </row>
    <row r="44" spans="23:39" x14ac:dyDescent="0.35">
      <c r="W44" s="69" t="s">
        <v>153</v>
      </c>
      <c r="X44" s="76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75"/>
    </row>
    <row r="45" spans="23:39" x14ac:dyDescent="0.35">
      <c r="W45" s="10" t="s">
        <v>149</v>
      </c>
      <c r="X45" s="11"/>
      <c r="Y45" s="11">
        <v>9309</v>
      </c>
      <c r="Z45" s="11">
        <v>10180</v>
      </c>
      <c r="AA45" s="11">
        <v>10200</v>
      </c>
      <c r="AB45" s="11">
        <v>10759</v>
      </c>
      <c r="AC45" s="11">
        <v>12603</v>
      </c>
      <c r="AD45" s="11">
        <v>13749</v>
      </c>
      <c r="AE45" s="11">
        <v>13661</v>
      </c>
      <c r="AF45" s="11">
        <v>15097</v>
      </c>
      <c r="AG45" s="11">
        <v>16748</v>
      </c>
      <c r="AH45" s="11">
        <v>19327</v>
      </c>
      <c r="AI45" s="11">
        <f>AH45*(1+AI46)</f>
        <v>20293.350000000002</v>
      </c>
      <c r="AJ45" s="11">
        <f t="shared" ref="AJ45:AK45" si="23">AI45*(1+AJ46)</f>
        <v>21308.017500000002</v>
      </c>
      <c r="AK45" s="11">
        <f t="shared" si="23"/>
        <v>22373.418375000001</v>
      </c>
      <c r="AL45" s="11">
        <f>AK45*(1+AL46)</f>
        <v>23492.089293750003</v>
      </c>
      <c r="AM45" s="11">
        <f>AL45*(1+AM46)</f>
        <v>24666.693758437505</v>
      </c>
    </row>
    <row r="46" spans="23:39" x14ac:dyDescent="0.35">
      <c r="W46" s="10" t="s">
        <v>161</v>
      </c>
      <c r="X46" s="23"/>
      <c r="Y46" s="23"/>
      <c r="Z46" s="23">
        <f>(Z45-Y45)/Y45</f>
        <v>9.3565366849285639E-2</v>
      </c>
      <c r="AA46" s="23">
        <f t="shared" ref="AA46:AH46" si="24">(AA45-Z45)/Z45</f>
        <v>1.9646365422396855E-3</v>
      </c>
      <c r="AB46" s="23">
        <f>(AB45-AA45)/AA45</f>
        <v>5.4803921568627449E-2</v>
      </c>
      <c r="AC46" s="23">
        <f t="shared" si="24"/>
        <v>0.17139139325216099</v>
      </c>
      <c r="AD46" s="23">
        <f t="shared" si="24"/>
        <v>9.0930730778386093E-2</v>
      </c>
      <c r="AE46" s="23">
        <f t="shared" si="24"/>
        <v>-6.4004654883991563E-3</v>
      </c>
      <c r="AF46" s="23">
        <f t="shared" si="24"/>
        <v>0.10511675572798478</v>
      </c>
      <c r="AG46" s="23">
        <f t="shared" si="24"/>
        <v>0.10935947539246207</v>
      </c>
      <c r="AH46" s="23">
        <f t="shared" si="24"/>
        <v>0.15398853594459039</v>
      </c>
      <c r="AI46" s="74">
        <v>0.05</v>
      </c>
      <c r="AJ46" s="74">
        <v>0.05</v>
      </c>
      <c r="AK46" s="74">
        <v>0.05</v>
      </c>
      <c r="AL46" s="74">
        <v>0.05</v>
      </c>
      <c r="AM46" s="74">
        <v>0.05</v>
      </c>
    </row>
    <row r="47" spans="23:39" x14ac:dyDescent="0.35">
      <c r="W47" s="10" t="s">
        <v>58</v>
      </c>
      <c r="X47" s="11"/>
      <c r="Y47" s="23">
        <f>Y48/Y45</f>
        <v>5.231496401332044E-2</v>
      </c>
      <c r="Z47" s="23">
        <f t="shared" ref="Z47:AH47" si="25">Z48/Z45</f>
        <v>5.1768172888015718E-2</v>
      </c>
      <c r="AA47" s="23">
        <f t="shared" si="25"/>
        <v>5.696078431372549E-2</v>
      </c>
      <c r="AB47" s="23">
        <f t="shared" si="25"/>
        <v>5.093410168231248E-2</v>
      </c>
      <c r="AC47" s="23">
        <f t="shared" si="25"/>
        <v>5.7684678251210028E-2</v>
      </c>
      <c r="AD47" s="23">
        <f t="shared" si="25"/>
        <v>6.0149829078478434E-2</v>
      </c>
      <c r="AE47" s="23">
        <f t="shared" si="25"/>
        <v>5.6584437449674257E-2</v>
      </c>
      <c r="AF47" s="23">
        <f t="shared" si="25"/>
        <v>6.5244750612704516E-2</v>
      </c>
      <c r="AG47" s="23">
        <f t="shared" si="25"/>
        <v>6.8187246238356813E-2</v>
      </c>
      <c r="AH47" s="23">
        <f t="shared" si="25"/>
        <v>7.0160914782428724E-2</v>
      </c>
      <c r="AI47" s="74">
        <v>7.0000000000000007E-2</v>
      </c>
      <c r="AJ47" s="74">
        <v>7.0000000000000007E-2</v>
      </c>
      <c r="AK47" s="74">
        <v>7.0000000000000007E-2</v>
      </c>
      <c r="AL47" s="74">
        <v>7.0000000000000007E-2</v>
      </c>
      <c r="AM47" s="74">
        <v>7.0000000000000007E-2</v>
      </c>
    </row>
    <row r="48" spans="23:39" x14ac:dyDescent="0.35">
      <c r="W48" s="18" t="s">
        <v>150</v>
      </c>
      <c r="X48" s="19"/>
      <c r="Y48" s="19">
        <v>487</v>
      </c>
      <c r="Z48" s="19">
        <v>527</v>
      </c>
      <c r="AA48" s="19">
        <v>581</v>
      </c>
      <c r="AB48" s="19">
        <v>548</v>
      </c>
      <c r="AC48" s="19">
        <v>727</v>
      </c>
      <c r="AD48" s="19">
        <v>827</v>
      </c>
      <c r="AE48" s="19">
        <v>773</v>
      </c>
      <c r="AF48" s="19">
        <v>985</v>
      </c>
      <c r="AG48" s="19">
        <v>1142</v>
      </c>
      <c r="AH48" s="19">
        <v>1356</v>
      </c>
      <c r="AI48" s="19">
        <f>AI47*AI45</f>
        <v>1420.5345000000002</v>
      </c>
      <c r="AJ48" s="19">
        <f t="shared" ref="AJ48:AM48" si="26">AJ47*AJ45</f>
        <v>1491.5612250000004</v>
      </c>
      <c r="AK48" s="19">
        <f t="shared" si="26"/>
        <v>1566.1392862500002</v>
      </c>
      <c r="AL48" s="19">
        <f t="shared" si="26"/>
        <v>1644.4462505625004</v>
      </c>
      <c r="AM48" s="19">
        <f t="shared" si="26"/>
        <v>1726.6685630906254</v>
      </c>
    </row>
    <row r="49" spans="23:39" x14ac:dyDescent="0.35">
      <c r="W49" s="10"/>
    </row>
    <row r="53" spans="23:39" x14ac:dyDescent="0.35">
      <c r="W53" s="42" t="s">
        <v>164</v>
      </c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</row>
    <row r="54" spans="23:39" x14ac:dyDescent="0.35">
      <c r="W54" s="43" t="s">
        <v>21</v>
      </c>
      <c r="X54" s="11"/>
      <c r="Y54" s="11">
        <f t="shared" ref="Y54:AF54" si="27">SUM(Y45,Y36,Y22,Y7,Y29)</f>
        <v>31138</v>
      </c>
      <c r="Z54" s="11">
        <f t="shared" si="27"/>
        <v>31181</v>
      </c>
      <c r="AA54" s="11">
        <f t="shared" si="27"/>
        <v>30952.98</v>
      </c>
      <c r="AB54" s="11">
        <f t="shared" si="27"/>
        <v>32559.599999999999</v>
      </c>
      <c r="AC54" s="11">
        <f t="shared" si="27"/>
        <v>35193.58</v>
      </c>
      <c r="AD54" s="11">
        <f t="shared" si="27"/>
        <v>38539.58</v>
      </c>
      <c r="AE54" s="11">
        <f t="shared" si="27"/>
        <v>43838.8</v>
      </c>
      <c r="AF54" s="11">
        <f t="shared" si="27"/>
        <v>50623</v>
      </c>
      <c r="AG54" s="11">
        <f>SUM(AG45,AG36,AG22,AG7,AG29)</f>
        <v>62794</v>
      </c>
      <c r="AH54" s="11">
        <f>SUM(AH45,AH36,AH22,AH7,AH29)</f>
        <v>70224</v>
      </c>
      <c r="AI54" s="11">
        <f t="shared" ref="AI54:AL54" si="28">SUM(AI45,AI36,AI22,AI7,AI29)</f>
        <v>72017.38</v>
      </c>
      <c r="AJ54" s="11">
        <f t="shared" si="28"/>
        <v>74942.957000000009</v>
      </c>
      <c r="AK54" s="11">
        <f t="shared" si="28"/>
        <v>78102.05638200001</v>
      </c>
      <c r="AL54" s="11">
        <f t="shared" si="28"/>
        <v>81410.792999900004</v>
      </c>
      <c r="AM54" s="11">
        <f>SUM(AM45,AM36,AM22,AM7,AM29)</f>
        <v>84877.135528111816</v>
      </c>
    </row>
    <row r="55" spans="23:39" x14ac:dyDescent="0.35">
      <c r="W55" s="43" t="s">
        <v>161</v>
      </c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>
        <f>(AH54-AG54)/AG54</f>
        <v>0.11832340669490715</v>
      </c>
      <c r="AI55" s="23">
        <f t="shared" ref="AI55:AM55" si="29">(AI54-AH54)/AH54</f>
        <v>2.5537992709045408E-2</v>
      </c>
      <c r="AJ55" s="23">
        <f t="shared" si="29"/>
        <v>4.0623207897871383E-2</v>
      </c>
      <c r="AK55" s="23">
        <f t="shared" si="29"/>
        <v>4.2153385834508769E-2</v>
      </c>
      <c r="AL55" s="23">
        <f t="shared" si="29"/>
        <v>4.2364270176406663E-2</v>
      </c>
      <c r="AM55" s="23">
        <f t="shared" si="29"/>
        <v>4.2578414980137452E-2</v>
      </c>
    </row>
    <row r="56" spans="23:39" x14ac:dyDescent="0.35">
      <c r="W56" s="43" t="s">
        <v>163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>
        <f>AH48+AH39+AH32+AH25+AH18</f>
        <v>8357</v>
      </c>
      <c r="AI56" s="80">
        <f t="shared" ref="AI56:AL56" si="30">AI48+AI39+AI32+AI25+AI18</f>
        <v>8760.1265999999996</v>
      </c>
      <c r="AJ56" s="80">
        <f t="shared" si="30"/>
        <v>9153.3751110000012</v>
      </c>
      <c r="AK56" s="80">
        <f t="shared" si="30"/>
        <v>9570.8022920900021</v>
      </c>
      <c r="AL56" s="80">
        <f t="shared" si="30"/>
        <v>10009.933820490902</v>
      </c>
      <c r="AM56" s="80">
        <f>AM48+AM39+AM32+AM25+AM18</f>
        <v>10472.025300799303</v>
      </c>
    </row>
    <row r="57" spans="23:39" x14ac:dyDescent="0.35">
      <c r="W57" s="39" t="s">
        <v>58</v>
      </c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>
        <f>AH56/AH54</f>
        <v>0.11900489861016177</v>
      </c>
      <c r="AI57" s="81">
        <f>AI56/AI54</f>
        <v>0.12163906268181374</v>
      </c>
      <c r="AJ57" s="81">
        <f t="shared" ref="AJ57:AL57" si="31">AJ56/AJ54</f>
        <v>0.12213789630692047</v>
      </c>
      <c r="AK57" s="81">
        <f t="shared" si="31"/>
        <v>0.12254225734184077</v>
      </c>
      <c r="AL57" s="81">
        <f t="shared" si="31"/>
        <v>0.12295585697713565</v>
      </c>
      <c r="AM57" s="81">
        <f t="shared" ref="AM57" si="32">AM56/AM54</f>
        <v>0.12337863708101819</v>
      </c>
    </row>
    <row r="85" spans="27:39" x14ac:dyDescent="0.35"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7" spans="27:39" x14ac:dyDescent="0.35">
      <c r="AA87" s="24"/>
      <c r="AB87" s="24"/>
    </row>
    <row r="88" spans="27:39" x14ac:dyDescent="0.35">
      <c r="AM88" s="2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FEBC-CB71-476A-8746-41FA4789B876}">
  <dimension ref="E19:AT38"/>
  <sheetViews>
    <sheetView topLeftCell="D70" zoomScale="85" zoomScaleNormal="85" workbookViewId="0">
      <selection activeCell="AG43" sqref="AG43"/>
    </sheetView>
  </sheetViews>
  <sheetFormatPr defaultRowHeight="14.5" x14ac:dyDescent="0.35"/>
  <cols>
    <col min="1" max="3" width="8.81640625" bestFit="1" customWidth="1"/>
    <col min="4" max="4" width="9.08984375" bestFit="1" customWidth="1"/>
    <col min="5" max="5" width="26.81640625" bestFit="1" customWidth="1"/>
    <col min="6" max="7" width="8.81640625" bestFit="1" customWidth="1"/>
    <col min="8" max="8" width="9.08984375" bestFit="1" customWidth="1"/>
    <col min="9" max="11" width="8.81640625" bestFit="1" customWidth="1"/>
    <col min="12" max="12" width="9.08984375" bestFit="1" customWidth="1"/>
    <col min="13" max="15" width="8.81640625" bestFit="1" customWidth="1"/>
    <col min="16" max="16" width="9.08984375" bestFit="1" customWidth="1"/>
    <col min="17" max="19" width="8.81640625" bestFit="1" customWidth="1"/>
    <col min="20" max="20" width="9.08984375" bestFit="1" customWidth="1"/>
    <col min="21" max="23" width="8.81640625" bestFit="1" customWidth="1"/>
    <col min="24" max="24" width="9.08984375" bestFit="1" customWidth="1"/>
    <col min="25" max="27" width="8.81640625" bestFit="1" customWidth="1"/>
    <col min="28" max="28" width="9.08984375" bestFit="1" customWidth="1"/>
    <col min="29" max="31" width="8.81640625" bestFit="1" customWidth="1"/>
    <col min="32" max="32" width="9.08984375" bestFit="1" customWidth="1"/>
    <col min="33" max="35" width="8.81640625" bestFit="1" customWidth="1"/>
    <col min="36" max="36" width="9.08984375" bestFit="1" customWidth="1"/>
    <col min="37" max="39" width="8.81640625" bestFit="1" customWidth="1"/>
    <col min="40" max="40" width="9.08984375" bestFit="1" customWidth="1"/>
    <col min="41" max="41" width="10.1796875" bestFit="1" customWidth="1"/>
  </cols>
  <sheetData>
    <row r="19" spans="5:46" x14ac:dyDescent="0.35">
      <c r="F19" t="str">
        <f>"2014"&amp;" Q1"</f>
        <v>2014 Q1</v>
      </c>
      <c r="G19" t="str">
        <f>"2014"&amp;" Q2"</f>
        <v>2014 Q2</v>
      </c>
      <c r="H19" t="str">
        <f>"2014"&amp;" Q3"</f>
        <v>2014 Q3</v>
      </c>
      <c r="I19" t="str">
        <f>"2014"&amp;" Q4"</f>
        <v>2014 Q4</v>
      </c>
      <c r="J19" t="str">
        <f>"2015"&amp;" Q1"</f>
        <v>2015 Q1</v>
      </c>
      <c r="K19" t="str">
        <f>"2015"&amp;" Q2"</f>
        <v>2015 Q2</v>
      </c>
      <c r="L19" t="str">
        <f>"2015"&amp;" Q3"</f>
        <v>2015 Q3</v>
      </c>
      <c r="M19" t="str">
        <f>"2015"&amp;" Q4"</f>
        <v>2015 Q4</v>
      </c>
      <c r="N19" t="str">
        <f>"2016"&amp;" Q1"</f>
        <v>2016 Q1</v>
      </c>
      <c r="O19" t="str">
        <f>"2016"&amp;" Q2"</f>
        <v>2016 Q2</v>
      </c>
      <c r="P19" t="str">
        <f>"2016"&amp;" Q3"</f>
        <v>2016 Q3</v>
      </c>
      <c r="Q19" t="str">
        <f>"2016"&amp;" Q4"</f>
        <v>2016 Q4</v>
      </c>
      <c r="R19" t="str">
        <f>"2017"&amp;" Q1"</f>
        <v>2017 Q1</v>
      </c>
      <c r="S19" t="str">
        <f>"2017"&amp;" Q2"</f>
        <v>2017 Q2</v>
      </c>
      <c r="T19" t="str">
        <f>"2017"&amp;" Q3"</f>
        <v>2017 Q3</v>
      </c>
      <c r="U19" t="str">
        <f>"2017"&amp;" Q4"</f>
        <v>2017 Q4</v>
      </c>
      <c r="V19" t="str">
        <f>"2018"&amp;" Q1"</f>
        <v>2018 Q1</v>
      </c>
      <c r="W19" t="str">
        <f>"2018"&amp;" Q2"</f>
        <v>2018 Q2</v>
      </c>
      <c r="X19" t="str">
        <f>"2018"&amp;" Q3"</f>
        <v>2018 Q3</v>
      </c>
      <c r="Y19" t="str">
        <f>"2018"&amp;" Q4"</f>
        <v>2018 Q4</v>
      </c>
      <c r="Z19" t="str">
        <f>"2019"&amp;" Q1"</f>
        <v>2019 Q1</v>
      </c>
      <c r="AA19" t="str">
        <f>"2019"&amp;" Q2"</f>
        <v>2019 Q2</v>
      </c>
      <c r="AB19" t="str">
        <f>"2019"&amp;" Q3"</f>
        <v>2019 Q3</v>
      </c>
      <c r="AC19" t="str">
        <f>"2019"&amp;" Q4"</f>
        <v>2019 Q4</v>
      </c>
      <c r="AD19" t="str">
        <f>"2020"&amp;" Q1"</f>
        <v>2020 Q1</v>
      </c>
      <c r="AE19" t="str">
        <f>"2020"&amp;" Q2"</f>
        <v>2020 Q2</v>
      </c>
      <c r="AF19" t="str">
        <f>"2020"&amp;" Q3"</f>
        <v>2020 Q3</v>
      </c>
      <c r="AG19" t="str">
        <f>"2020"&amp;" Q4"</f>
        <v>2020 Q4</v>
      </c>
      <c r="AH19" t="str">
        <f>"2021"&amp;" Q1"</f>
        <v>2021 Q1</v>
      </c>
      <c r="AI19" t="str">
        <f>"2021"&amp;" Q2"</f>
        <v>2021 Q2</v>
      </c>
      <c r="AJ19" t="str">
        <f>"2021"&amp;" Q3"</f>
        <v>2021 Q3</v>
      </c>
      <c r="AK19" t="str">
        <f>"2021"&amp;" Q4"</f>
        <v>2021 Q4</v>
      </c>
      <c r="AL19" t="str">
        <f>"2022"&amp;" Q1"</f>
        <v>2022 Q1</v>
      </c>
      <c r="AM19" t="str">
        <f t="shared" ref="AM19" si="0">"2022"&amp;" Q2"</f>
        <v>2022 Q2</v>
      </c>
      <c r="AN19" t="str">
        <f>"2022"&amp;" Q3"</f>
        <v>2022 Q3</v>
      </c>
      <c r="AO19" t="str">
        <f>"2022"&amp;" Q4"</f>
        <v>2022 Q4</v>
      </c>
      <c r="AP19" t="str">
        <f>"2023"&amp;" Q1"</f>
        <v>2023 Q1</v>
      </c>
      <c r="AQ19" t="str">
        <f t="shared" ref="AQ19" si="1">"2023"&amp;" Q2"</f>
        <v>2023 Q2</v>
      </c>
      <c r="AR19" t="str">
        <f>"2023"&amp;" Q3"</f>
        <v>2023 Q3</v>
      </c>
      <c r="AS19" t="str">
        <f>"2023"&amp;" Q4"</f>
        <v>2023 Q4</v>
      </c>
      <c r="AT19" t="s">
        <v>249</v>
      </c>
    </row>
    <row r="20" spans="5:46" x14ac:dyDescent="0.35">
      <c r="E20" t="s">
        <v>247</v>
      </c>
      <c r="F20">
        <v>6800</v>
      </c>
      <c r="G20">
        <v>6600</v>
      </c>
      <c r="H20">
        <v>6400</v>
      </c>
      <c r="I20">
        <v>6300</v>
      </c>
      <c r="J20">
        <v>6600</v>
      </c>
      <c r="K20">
        <v>6800</v>
      </c>
      <c r="L20">
        <v>6500</v>
      </c>
      <c r="M20">
        <v>6100</v>
      </c>
      <c r="N20">
        <v>6600</v>
      </c>
      <c r="O20">
        <v>6400</v>
      </c>
      <c r="P20">
        <v>6200</v>
      </c>
      <c r="Q20">
        <v>5900</v>
      </c>
      <c r="R20">
        <v>6900</v>
      </c>
      <c r="S20">
        <v>7000</v>
      </c>
      <c r="T20">
        <v>7100</v>
      </c>
      <c r="U20">
        <v>6700</v>
      </c>
      <c r="V20">
        <v>8700</v>
      </c>
      <c r="W20">
        <v>8700</v>
      </c>
      <c r="X20">
        <v>8600</v>
      </c>
      <c r="Y20">
        <v>8400</v>
      </c>
      <c r="Z20">
        <v>9300</v>
      </c>
      <c r="AA20">
        <v>9400</v>
      </c>
      <c r="AB20">
        <v>9500</v>
      </c>
      <c r="AC20">
        <v>9100</v>
      </c>
      <c r="AD20">
        <v>10200</v>
      </c>
      <c r="AE20">
        <v>10200</v>
      </c>
      <c r="AF20">
        <v>10200</v>
      </c>
      <c r="AG20">
        <v>9900</v>
      </c>
      <c r="AH20">
        <v>10900</v>
      </c>
      <c r="AI20">
        <v>11200</v>
      </c>
      <c r="AJ20">
        <v>11400</v>
      </c>
      <c r="AK20">
        <v>11000</v>
      </c>
      <c r="AL20">
        <v>12200</v>
      </c>
      <c r="AM20">
        <v>12700</v>
      </c>
      <c r="AN20">
        <v>12600</v>
      </c>
      <c r="AO20">
        <v>12400</v>
      </c>
      <c r="AP20">
        <v>14500</v>
      </c>
      <c r="AQ20">
        <v>14700</v>
      </c>
      <c r="AR20">
        <v>14700</v>
      </c>
      <c r="AS20">
        <v>14300</v>
      </c>
      <c r="AT20">
        <v>16000</v>
      </c>
    </row>
    <row r="21" spans="5:46" x14ac:dyDescent="0.35">
      <c r="E21" t="s">
        <v>237</v>
      </c>
      <c r="AL21">
        <v>8400</v>
      </c>
      <c r="AM21">
        <v>9300</v>
      </c>
      <c r="AN21">
        <v>11200</v>
      </c>
      <c r="AO21">
        <v>11100</v>
      </c>
      <c r="AP21">
        <v>11500</v>
      </c>
      <c r="AQ21">
        <v>13300</v>
      </c>
      <c r="AR21">
        <v>14900</v>
      </c>
      <c r="AS21">
        <v>14400</v>
      </c>
      <c r="AT21">
        <v>16700</v>
      </c>
    </row>
    <row r="22" spans="5:46" x14ac:dyDescent="0.35">
      <c r="E22" t="s">
        <v>248</v>
      </c>
      <c r="F22">
        <v>23900</v>
      </c>
      <c r="G22">
        <v>22900</v>
      </c>
      <c r="H22">
        <v>22300</v>
      </c>
      <c r="I22">
        <v>21600</v>
      </c>
      <c r="J22">
        <v>22500</v>
      </c>
      <c r="K22">
        <v>21900</v>
      </c>
      <c r="L22">
        <v>22000</v>
      </c>
      <c r="M22">
        <v>21700</v>
      </c>
      <c r="N22">
        <v>17000</v>
      </c>
      <c r="O22">
        <v>22800</v>
      </c>
      <c r="P22">
        <v>21700</v>
      </c>
      <c r="Q22">
        <v>21500</v>
      </c>
      <c r="R22">
        <v>23300</v>
      </c>
      <c r="S22">
        <v>23700</v>
      </c>
      <c r="T22">
        <v>23500</v>
      </c>
      <c r="U22">
        <v>22600</v>
      </c>
      <c r="V22">
        <v>24000</v>
      </c>
      <c r="W22">
        <v>24000</v>
      </c>
      <c r="X22">
        <v>24200</v>
      </c>
      <c r="Y22">
        <v>24700</v>
      </c>
      <c r="Z22">
        <v>25600</v>
      </c>
      <c r="AA22">
        <v>26800</v>
      </c>
      <c r="AB22">
        <v>27000</v>
      </c>
      <c r="AC22">
        <v>27400</v>
      </c>
      <c r="AD22">
        <v>27600</v>
      </c>
      <c r="AE22">
        <v>32700</v>
      </c>
      <c r="AF22">
        <v>32600</v>
      </c>
      <c r="AG22">
        <v>32500</v>
      </c>
      <c r="AH22">
        <v>35000</v>
      </c>
      <c r="AI22">
        <v>34800</v>
      </c>
      <c r="AJ22">
        <v>34000</v>
      </c>
      <c r="AK22">
        <v>33400</v>
      </c>
      <c r="AL22">
        <v>34300</v>
      </c>
      <c r="AM22">
        <v>34300</v>
      </c>
      <c r="AN22">
        <v>33600</v>
      </c>
      <c r="AO22">
        <v>33800</v>
      </c>
      <c r="AP22">
        <v>34300</v>
      </c>
      <c r="AQ22">
        <v>33600</v>
      </c>
      <c r="AR22">
        <v>33600</v>
      </c>
      <c r="AS22">
        <v>32700</v>
      </c>
      <c r="AT22">
        <v>33900</v>
      </c>
    </row>
    <row r="30" spans="5:46" x14ac:dyDescent="0.35">
      <c r="F30" t="str">
        <f>"2014"&amp;" Q1"</f>
        <v>2014 Q1</v>
      </c>
      <c r="G30" t="str">
        <f>"2014"&amp;" Q2"</f>
        <v>2014 Q2</v>
      </c>
      <c r="H30" t="str">
        <f>"2014"&amp;" Q3"</f>
        <v>2014 Q3</v>
      </c>
      <c r="I30" t="str">
        <f>"2014"&amp;" Q4"</f>
        <v>2014 Q4</v>
      </c>
      <c r="J30" t="str">
        <f>"2015"&amp;" Q1"</f>
        <v>2015 Q1</v>
      </c>
      <c r="K30" t="str">
        <f>"2015"&amp;" Q2"</f>
        <v>2015 Q2</v>
      </c>
      <c r="L30" t="str">
        <f>"2015"&amp;" Q3"</f>
        <v>2015 Q3</v>
      </c>
      <c r="M30" t="str">
        <f>"2015"&amp;" Q4"</f>
        <v>2015 Q4</v>
      </c>
      <c r="N30" t="str">
        <f>"2016"&amp;" Q1"</f>
        <v>2016 Q1</v>
      </c>
      <c r="O30" t="str">
        <f>"2016"&amp;" Q2"</f>
        <v>2016 Q2</v>
      </c>
      <c r="P30" t="str">
        <f>"2016"&amp;" Q3"</f>
        <v>2016 Q3</v>
      </c>
      <c r="Q30" t="str">
        <f>"2016"&amp;" Q4"</f>
        <v>2016 Q4</v>
      </c>
      <c r="R30" t="str">
        <f>"2017"&amp;" Q1"</f>
        <v>2017 Q1</v>
      </c>
      <c r="S30" t="str">
        <f>"2017"&amp;" Q2"</f>
        <v>2017 Q2</v>
      </c>
      <c r="T30" t="str">
        <f>"2017"&amp;" Q3"</f>
        <v>2017 Q3</v>
      </c>
      <c r="U30" t="str">
        <f>"2017"&amp;" Q4"</f>
        <v>2017 Q4</v>
      </c>
      <c r="V30" t="str">
        <f>"2018"&amp;" Q1"</f>
        <v>2018 Q1</v>
      </c>
      <c r="W30" t="str">
        <f>"2018"&amp;" Q2"</f>
        <v>2018 Q2</v>
      </c>
      <c r="X30" t="str">
        <f>"2018"&amp;" Q3"</f>
        <v>2018 Q3</v>
      </c>
      <c r="Y30" t="str">
        <f>"2018"&amp;" Q4"</f>
        <v>2018 Q4</v>
      </c>
      <c r="Z30" t="str">
        <f>"2019"&amp;" Q1"</f>
        <v>2019 Q1</v>
      </c>
      <c r="AA30" t="str">
        <f>"2019"&amp;" Q2"</f>
        <v>2019 Q2</v>
      </c>
      <c r="AB30" t="str">
        <f>"2019"&amp;" Q3"</f>
        <v>2019 Q3</v>
      </c>
      <c r="AC30" t="str">
        <f>"2019"&amp;" Q4"</f>
        <v>2019 Q4</v>
      </c>
      <c r="AD30" t="str">
        <f>"2020"&amp;" Q1"</f>
        <v>2020 Q1</v>
      </c>
      <c r="AE30" t="str">
        <f>"2020"&amp;" Q2"</f>
        <v>2020 Q2</v>
      </c>
      <c r="AF30" t="str">
        <f>"2020"&amp;" Q3"</f>
        <v>2020 Q3</v>
      </c>
      <c r="AG30" t="str">
        <f>"2020"&amp;" Q4"</f>
        <v>2020 Q4</v>
      </c>
      <c r="AH30" t="str">
        <f>"2021"&amp;" Q1"</f>
        <v>2021 Q1</v>
      </c>
      <c r="AI30" t="str">
        <f>"2021"&amp;" Q2"</f>
        <v>2021 Q2</v>
      </c>
      <c r="AJ30" t="str">
        <f>"2021"&amp;" Q3"</f>
        <v>2021 Q3</v>
      </c>
      <c r="AK30" t="str">
        <f>"2021"&amp;" Q4"</f>
        <v>2021 Q4</v>
      </c>
      <c r="AL30" t="str">
        <f>"2022"&amp;" Q1"</f>
        <v>2022 Q1</v>
      </c>
      <c r="AM30" t="str">
        <f t="shared" ref="AM30" si="2">"2022"&amp;" Q2"</f>
        <v>2022 Q2</v>
      </c>
      <c r="AN30" t="str">
        <f>"2022"&amp;" Q3"</f>
        <v>2022 Q3</v>
      </c>
      <c r="AO30" t="str">
        <f>"2022"&amp;" Q4"</f>
        <v>2022 Q4</v>
      </c>
      <c r="AP30" t="str">
        <f>"2023"&amp;" Q1"</f>
        <v>2023 Q1</v>
      </c>
      <c r="AQ30" t="str">
        <f t="shared" ref="AQ30" si="3">"2023"&amp;" Q2"</f>
        <v>2023 Q2</v>
      </c>
      <c r="AR30" t="str">
        <f>"2023"&amp;" Q3"</f>
        <v>2023 Q3</v>
      </c>
      <c r="AS30" t="str">
        <f>"2023"&amp;" Q4"</f>
        <v>2023 Q4</v>
      </c>
      <c r="AT30" t="s">
        <v>249</v>
      </c>
    </row>
    <row r="31" spans="5:46" x14ac:dyDescent="0.35">
      <c r="E31" t="s">
        <v>242</v>
      </c>
      <c r="J31" s="24">
        <f>(J20-F20)/F20</f>
        <v>-2.9411764705882353E-2</v>
      </c>
      <c r="K31" s="24">
        <f t="shared" ref="K31:AO31" si="4">(K20-G20)/G20</f>
        <v>3.0303030303030304E-2</v>
      </c>
      <c r="L31" s="24">
        <f t="shared" si="4"/>
        <v>1.5625E-2</v>
      </c>
      <c r="M31" s="24">
        <f t="shared" si="4"/>
        <v>-3.1746031746031744E-2</v>
      </c>
      <c r="N31" s="24">
        <f t="shared" si="4"/>
        <v>0</v>
      </c>
      <c r="O31" s="24">
        <f t="shared" si="4"/>
        <v>-5.8823529411764705E-2</v>
      </c>
      <c r="P31" s="24">
        <f t="shared" si="4"/>
        <v>-4.6153846153846156E-2</v>
      </c>
      <c r="Q31" s="24">
        <f t="shared" si="4"/>
        <v>-3.2786885245901641E-2</v>
      </c>
      <c r="R31" s="24">
        <f t="shared" si="4"/>
        <v>4.5454545454545456E-2</v>
      </c>
      <c r="S31" s="24">
        <f t="shared" si="4"/>
        <v>9.375E-2</v>
      </c>
      <c r="T31" s="24">
        <f t="shared" si="4"/>
        <v>0.14516129032258066</v>
      </c>
      <c r="U31" s="24">
        <f t="shared" si="4"/>
        <v>0.13559322033898305</v>
      </c>
      <c r="V31" s="24">
        <f t="shared" si="4"/>
        <v>0.2608695652173913</v>
      </c>
      <c r="W31" s="24">
        <f t="shared" si="4"/>
        <v>0.24285714285714285</v>
      </c>
      <c r="X31" s="24">
        <f t="shared" si="4"/>
        <v>0.21126760563380281</v>
      </c>
      <c r="Y31" s="24">
        <f t="shared" si="4"/>
        <v>0.2537313432835821</v>
      </c>
      <c r="Z31" s="24">
        <f t="shared" si="4"/>
        <v>6.8965517241379309E-2</v>
      </c>
      <c r="AA31" s="24">
        <f t="shared" si="4"/>
        <v>8.0459770114942528E-2</v>
      </c>
      <c r="AB31" s="24">
        <f t="shared" si="4"/>
        <v>0.10465116279069768</v>
      </c>
      <c r="AC31" s="24">
        <f t="shared" si="4"/>
        <v>8.3333333333333329E-2</v>
      </c>
      <c r="AD31" s="24">
        <f t="shared" si="4"/>
        <v>9.6774193548387094E-2</v>
      </c>
      <c r="AE31" s="24">
        <f t="shared" si="4"/>
        <v>8.5106382978723402E-2</v>
      </c>
      <c r="AF31" s="24">
        <f t="shared" si="4"/>
        <v>7.3684210526315783E-2</v>
      </c>
      <c r="AG31" s="24">
        <f t="shared" si="4"/>
        <v>8.7912087912087919E-2</v>
      </c>
      <c r="AH31" s="24">
        <f t="shared" si="4"/>
        <v>6.8627450980392163E-2</v>
      </c>
      <c r="AI31" s="24">
        <f t="shared" si="4"/>
        <v>9.8039215686274508E-2</v>
      </c>
      <c r="AJ31" s="24">
        <f t="shared" si="4"/>
        <v>0.11764705882352941</v>
      </c>
      <c r="AK31" s="24">
        <f t="shared" si="4"/>
        <v>0.1111111111111111</v>
      </c>
      <c r="AL31" s="24">
        <f t="shared" si="4"/>
        <v>0.11926605504587157</v>
      </c>
      <c r="AM31" s="24">
        <f t="shared" si="4"/>
        <v>0.13392857142857142</v>
      </c>
      <c r="AN31" s="24">
        <f t="shared" si="4"/>
        <v>0.10526315789473684</v>
      </c>
      <c r="AO31" s="24">
        <f t="shared" si="4"/>
        <v>0.12727272727272726</v>
      </c>
      <c r="AP31" s="24">
        <f>(AP20-AL20)/AL20</f>
        <v>0.18852459016393441</v>
      </c>
      <c r="AQ31" s="24">
        <f>(AQ20-AM20)/AM20</f>
        <v>0.15748031496062992</v>
      </c>
      <c r="AR31" s="24">
        <f>(AR20-AN20)/AN20</f>
        <v>0.16666666666666666</v>
      </c>
      <c r="AS31" s="24">
        <f>(AS20-AO20)/AO20</f>
        <v>0.15322580645161291</v>
      </c>
      <c r="AT31" s="24">
        <f>(AT20-AP20)/AP20</f>
        <v>0.10344827586206896</v>
      </c>
    </row>
    <row r="32" spans="5:46" x14ac:dyDescent="0.35">
      <c r="E32" t="s">
        <v>241</v>
      </c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>
        <f t="shared" ref="AP32:AS33" si="5">(AP21-AL21)/AL21</f>
        <v>0.36904761904761907</v>
      </c>
      <c r="AQ32" s="24">
        <f t="shared" si="5"/>
        <v>0.43010752688172044</v>
      </c>
      <c r="AR32" s="24">
        <f t="shared" si="5"/>
        <v>0.33035714285714285</v>
      </c>
      <c r="AS32" s="24">
        <f t="shared" si="5"/>
        <v>0.29729729729729731</v>
      </c>
      <c r="AT32" s="24">
        <f t="shared" ref="AT32:AT33" si="6">(AT21-AP21)/AP21</f>
        <v>0.45217391304347826</v>
      </c>
    </row>
    <row r="33" spans="5:46" x14ac:dyDescent="0.35">
      <c r="E33" t="s">
        <v>243</v>
      </c>
      <c r="J33" s="24">
        <f t="shared" ref="J33" si="7">(J22-F22)/F22</f>
        <v>-5.8577405857740586E-2</v>
      </c>
      <c r="K33" s="24">
        <f t="shared" ref="K33" si="8">(K22-G22)/G22</f>
        <v>-4.3668122270742356E-2</v>
      </c>
      <c r="L33" s="24">
        <f t="shared" ref="L33" si="9">(L22-H22)/H22</f>
        <v>-1.3452914798206279E-2</v>
      </c>
      <c r="M33" s="24">
        <f t="shared" ref="M33" si="10">(M22-I22)/I22</f>
        <v>4.6296296296296294E-3</v>
      </c>
      <c r="N33" s="24">
        <f t="shared" ref="N33" si="11">(N22-J22)/J22</f>
        <v>-0.24444444444444444</v>
      </c>
      <c r="O33" s="24">
        <f t="shared" ref="O33" si="12">(O22-K22)/K22</f>
        <v>4.1095890410958902E-2</v>
      </c>
      <c r="P33" s="24">
        <f t="shared" ref="P33" si="13">(P22-L22)/L22</f>
        <v>-1.3636363636363636E-2</v>
      </c>
      <c r="Q33" s="24">
        <f t="shared" ref="Q33" si="14">(Q22-M22)/M22</f>
        <v>-9.2165898617511521E-3</v>
      </c>
      <c r="R33" s="24">
        <f t="shared" ref="R33" si="15">(R22-N22)/N22</f>
        <v>0.37058823529411766</v>
      </c>
      <c r="S33" s="24">
        <f t="shared" ref="S33" si="16">(S22-O22)/O22</f>
        <v>3.9473684210526314E-2</v>
      </c>
      <c r="T33" s="24">
        <f t="shared" ref="T33" si="17">(T22-P22)/P22</f>
        <v>8.294930875576037E-2</v>
      </c>
      <c r="U33" s="24">
        <f t="shared" ref="U33" si="18">(U22-Q22)/Q22</f>
        <v>5.1162790697674418E-2</v>
      </c>
      <c r="V33" s="24">
        <f t="shared" ref="V33" si="19">(V22-R22)/R22</f>
        <v>3.0042918454935622E-2</v>
      </c>
      <c r="W33" s="24">
        <f t="shared" ref="W33" si="20">(W22-S22)/S22</f>
        <v>1.2658227848101266E-2</v>
      </c>
      <c r="X33" s="24">
        <f t="shared" ref="X33" si="21">(X22-T22)/T22</f>
        <v>2.9787234042553193E-2</v>
      </c>
      <c r="Y33" s="24">
        <f t="shared" ref="Y33" si="22">(Y22-U22)/U22</f>
        <v>9.2920353982300891E-2</v>
      </c>
      <c r="Z33" s="24">
        <f t="shared" ref="Z33" si="23">(Z22-V22)/V22</f>
        <v>6.6666666666666666E-2</v>
      </c>
      <c r="AA33" s="24">
        <f t="shared" ref="AA33" si="24">(AA22-W22)/W22</f>
        <v>0.11666666666666667</v>
      </c>
      <c r="AB33" s="24">
        <f t="shared" ref="AB33" si="25">(AB22-X22)/X22</f>
        <v>0.11570247933884298</v>
      </c>
      <c r="AC33" s="24">
        <f t="shared" ref="AC33" si="26">(AC22-Y22)/Y22</f>
        <v>0.10931174089068826</v>
      </c>
      <c r="AD33" s="24">
        <f t="shared" ref="AD33" si="27">(AD22-Z22)/Z22</f>
        <v>7.8125E-2</v>
      </c>
      <c r="AE33" s="24">
        <f t="shared" ref="AE33" si="28">(AE22-AA22)/AA22</f>
        <v>0.22014925373134328</v>
      </c>
      <c r="AF33" s="24">
        <f t="shared" ref="AF33" si="29">(AF22-AB22)/AB22</f>
        <v>0.2074074074074074</v>
      </c>
      <c r="AG33" s="24">
        <f t="shared" ref="AG33" si="30">(AG22-AC22)/AC22</f>
        <v>0.18613138686131386</v>
      </c>
      <c r="AH33" s="24">
        <f t="shared" ref="AH33" si="31">(AH22-AD22)/AD22</f>
        <v>0.26811594202898553</v>
      </c>
      <c r="AI33" s="24">
        <f t="shared" ref="AI33" si="32">(AI22-AE22)/AE22</f>
        <v>6.4220183486238536E-2</v>
      </c>
      <c r="AJ33" s="24">
        <f t="shared" ref="AJ33" si="33">(AJ22-AF22)/AF22</f>
        <v>4.2944785276073622E-2</v>
      </c>
      <c r="AK33" s="24">
        <f t="shared" ref="AK33" si="34">(AK22-AG22)/AG22</f>
        <v>2.7692307692307693E-2</v>
      </c>
      <c r="AL33" s="24">
        <f t="shared" ref="AL33" si="35">(AL22-AH22)/AH22</f>
        <v>-0.02</v>
      </c>
      <c r="AM33" s="24">
        <f t="shared" ref="AM33" si="36">(AM22-AI22)/AI22</f>
        <v>-1.4367816091954023E-2</v>
      </c>
      <c r="AN33" s="24">
        <f t="shared" ref="AN33" si="37">(AN22-AJ22)/AJ22</f>
        <v>-1.1764705882352941E-2</v>
      </c>
      <c r="AO33" s="24">
        <f t="shared" ref="AO33" si="38">(AO22-AK22)/AK22</f>
        <v>1.1976047904191617E-2</v>
      </c>
      <c r="AP33" s="24">
        <f t="shared" si="5"/>
        <v>0</v>
      </c>
      <c r="AQ33" s="24">
        <f t="shared" si="5"/>
        <v>-2.0408163265306121E-2</v>
      </c>
      <c r="AR33" s="24">
        <f t="shared" si="5"/>
        <v>0</v>
      </c>
      <c r="AS33" s="24">
        <f t="shared" si="5"/>
        <v>-3.2544378698224852E-2</v>
      </c>
      <c r="AT33" s="24">
        <f t="shared" si="6"/>
        <v>-1.1661807580174927E-2</v>
      </c>
    </row>
    <row r="35" spans="5:46" x14ac:dyDescent="0.35">
      <c r="F35" t="str">
        <f>"2014"&amp;" Q1"</f>
        <v>2014 Q1</v>
      </c>
      <c r="G35" t="str">
        <f>"2014"&amp;" Q2"</f>
        <v>2014 Q2</v>
      </c>
      <c r="H35" t="str">
        <f>"2014"&amp;" Q3"</f>
        <v>2014 Q3</v>
      </c>
      <c r="I35" t="str">
        <f>"2014"&amp;" Q4"</f>
        <v>2014 Q4</v>
      </c>
      <c r="J35" t="str">
        <f>"2015"&amp;" Q1"</f>
        <v>2015 Q1</v>
      </c>
      <c r="K35" t="str">
        <f>"2015"&amp;" Q2"</f>
        <v>2015 Q2</v>
      </c>
      <c r="L35" t="str">
        <f>"2015"&amp;" Q3"</f>
        <v>2015 Q3</v>
      </c>
      <c r="M35" t="str">
        <f>"2015"&amp;" Q4"</f>
        <v>2015 Q4</v>
      </c>
      <c r="N35" t="str">
        <f>"2016"&amp;" Q1"</f>
        <v>2016 Q1</v>
      </c>
      <c r="O35" t="str">
        <f>"2016"&amp;" Q2"</f>
        <v>2016 Q2</v>
      </c>
      <c r="P35" t="str">
        <f>"2016"&amp;" Q3"</f>
        <v>2016 Q3</v>
      </c>
      <c r="Q35" t="str">
        <f>"2016"&amp;" Q4"</f>
        <v>2016 Q4</v>
      </c>
      <c r="R35" t="str">
        <f>"2017"&amp;" Q1"</f>
        <v>2017 Q1</v>
      </c>
      <c r="S35" t="str">
        <f>"2017"&amp;" Q2"</f>
        <v>2017 Q2</v>
      </c>
      <c r="T35" t="str">
        <f>"2017"&amp;" Q3"</f>
        <v>2017 Q3</v>
      </c>
      <c r="U35" t="str">
        <f>"2017"&amp;" Q4"</f>
        <v>2017 Q4</v>
      </c>
      <c r="V35" t="str">
        <f>"2018"&amp;" Q1"</f>
        <v>2018 Q1</v>
      </c>
      <c r="W35" t="str">
        <f>"2018"&amp;" Q2"</f>
        <v>2018 Q2</v>
      </c>
      <c r="X35" t="str">
        <f>"2018"&amp;" Q3"</f>
        <v>2018 Q3</v>
      </c>
      <c r="Y35" t="str">
        <f>"2018"&amp;" Q4"</f>
        <v>2018 Q4</v>
      </c>
      <c r="Z35" t="str">
        <f>"2019"&amp;" Q1"</f>
        <v>2019 Q1</v>
      </c>
      <c r="AA35" t="str">
        <f>"2019"&amp;" Q2"</f>
        <v>2019 Q2</v>
      </c>
      <c r="AB35" t="str">
        <f>"2019"&amp;" Q3"</f>
        <v>2019 Q3</v>
      </c>
      <c r="AC35" t="str">
        <f>"2019"&amp;" Q4"</f>
        <v>2019 Q4</v>
      </c>
      <c r="AD35" t="str">
        <f>"2020"&amp;" Q1"</f>
        <v>2020 Q1</v>
      </c>
      <c r="AE35" t="str">
        <f>"2020"&amp;" Q2"</f>
        <v>2020 Q2</v>
      </c>
      <c r="AF35" t="str">
        <f>"2020"&amp;" Q3"</f>
        <v>2020 Q3</v>
      </c>
      <c r="AG35" t="str">
        <f>"2020"&amp;" Q4"</f>
        <v>2020 Q4</v>
      </c>
      <c r="AH35" t="str">
        <f>"2021"&amp;" Q1"</f>
        <v>2021 Q1</v>
      </c>
      <c r="AI35" t="str">
        <f>"2021"&amp;" Q2"</f>
        <v>2021 Q2</v>
      </c>
      <c r="AJ35" t="str">
        <f>"2021"&amp;" Q3"</f>
        <v>2021 Q3</v>
      </c>
      <c r="AK35" t="str">
        <f>"2021"&amp;" Q4"</f>
        <v>2021 Q4</v>
      </c>
      <c r="AL35" t="str">
        <f>"2022"&amp;" Q1"</f>
        <v>2022 Q1</v>
      </c>
      <c r="AM35" t="str">
        <f t="shared" ref="AM35" si="39">"2022"&amp;" Q2"</f>
        <v>2022 Q2</v>
      </c>
      <c r="AN35" t="str">
        <f>"2022"&amp;" Q3"</f>
        <v>2022 Q3</v>
      </c>
      <c r="AO35" t="str">
        <f>"2022"&amp;" Q4"</f>
        <v>2022 Q4</v>
      </c>
      <c r="AP35" t="str">
        <f>"2023"&amp;" Q1"</f>
        <v>2023 Q1</v>
      </c>
      <c r="AQ35" t="str">
        <f t="shared" ref="AQ35" si="40">"2023"&amp;" Q2"</f>
        <v>2023 Q2</v>
      </c>
      <c r="AR35" t="str">
        <f>"2023"&amp;" Q3"</f>
        <v>2023 Q3</v>
      </c>
      <c r="AS35" t="str">
        <f>"2023"&amp;" Q4"</f>
        <v>2023 Q4</v>
      </c>
      <c r="AT35" t="s">
        <v>249</v>
      </c>
    </row>
    <row r="36" spans="5:46" x14ac:dyDescent="0.35">
      <c r="E36" t="s">
        <v>244</v>
      </c>
      <c r="G36" s="24">
        <f>(G20-F20)/F20</f>
        <v>-2.9411764705882353E-2</v>
      </c>
      <c r="H36" s="24">
        <f t="shared" ref="H36:AS36" si="41">(H20-G20)/G20</f>
        <v>-3.0303030303030304E-2</v>
      </c>
      <c r="I36" s="24">
        <f t="shared" si="41"/>
        <v>-1.5625E-2</v>
      </c>
      <c r="J36" s="24">
        <f t="shared" si="41"/>
        <v>4.7619047619047616E-2</v>
      </c>
      <c r="K36" s="24">
        <f t="shared" si="41"/>
        <v>3.0303030303030304E-2</v>
      </c>
      <c r="L36" s="24">
        <f t="shared" si="41"/>
        <v>-4.4117647058823532E-2</v>
      </c>
      <c r="M36" s="24">
        <f t="shared" si="41"/>
        <v>-6.1538461538461542E-2</v>
      </c>
      <c r="N36" s="24">
        <f t="shared" si="41"/>
        <v>8.1967213114754092E-2</v>
      </c>
      <c r="O36" s="24">
        <f t="shared" si="41"/>
        <v>-3.0303030303030304E-2</v>
      </c>
      <c r="P36" s="24">
        <f t="shared" si="41"/>
        <v>-3.125E-2</v>
      </c>
      <c r="Q36" s="24">
        <f t="shared" si="41"/>
        <v>-4.8387096774193547E-2</v>
      </c>
      <c r="R36" s="24">
        <f t="shared" si="41"/>
        <v>0.16949152542372881</v>
      </c>
      <c r="S36" s="24">
        <f t="shared" si="41"/>
        <v>1.4492753623188406E-2</v>
      </c>
      <c r="T36" s="24">
        <f t="shared" si="41"/>
        <v>1.4285714285714285E-2</v>
      </c>
      <c r="U36" s="24">
        <f t="shared" si="41"/>
        <v>-5.6338028169014086E-2</v>
      </c>
      <c r="V36" s="24">
        <f t="shared" si="41"/>
        <v>0.29850746268656714</v>
      </c>
      <c r="W36" s="24">
        <f t="shared" si="41"/>
        <v>0</v>
      </c>
      <c r="X36" s="24">
        <f t="shared" si="41"/>
        <v>-1.1494252873563218E-2</v>
      </c>
      <c r="Y36" s="24">
        <f t="shared" si="41"/>
        <v>-2.3255813953488372E-2</v>
      </c>
      <c r="Z36" s="24">
        <f t="shared" si="41"/>
        <v>0.10714285714285714</v>
      </c>
      <c r="AA36" s="24">
        <f t="shared" si="41"/>
        <v>1.0752688172043012E-2</v>
      </c>
      <c r="AB36" s="24">
        <f t="shared" si="41"/>
        <v>1.0638297872340425E-2</v>
      </c>
      <c r="AC36" s="24">
        <f t="shared" si="41"/>
        <v>-4.2105263157894736E-2</v>
      </c>
      <c r="AD36" s="24">
        <f t="shared" si="41"/>
        <v>0.12087912087912088</v>
      </c>
      <c r="AE36" s="24">
        <f t="shared" si="41"/>
        <v>0</v>
      </c>
      <c r="AF36" s="24">
        <f t="shared" si="41"/>
        <v>0</v>
      </c>
      <c r="AG36" s="24">
        <f t="shared" si="41"/>
        <v>-2.9411764705882353E-2</v>
      </c>
      <c r="AH36" s="24">
        <f t="shared" si="41"/>
        <v>0.10101010101010101</v>
      </c>
      <c r="AI36" s="24">
        <f t="shared" si="41"/>
        <v>2.7522935779816515E-2</v>
      </c>
      <c r="AJ36" s="24">
        <f t="shared" si="41"/>
        <v>1.7857142857142856E-2</v>
      </c>
      <c r="AK36" s="24">
        <f t="shared" si="41"/>
        <v>-3.5087719298245612E-2</v>
      </c>
      <c r="AL36" s="24">
        <f t="shared" si="41"/>
        <v>0.10909090909090909</v>
      </c>
      <c r="AM36" s="24">
        <f t="shared" si="41"/>
        <v>4.0983606557377046E-2</v>
      </c>
      <c r="AN36" s="24">
        <f t="shared" si="41"/>
        <v>-7.874015748031496E-3</v>
      </c>
      <c r="AO36" s="24">
        <f t="shared" si="41"/>
        <v>-1.5873015873015872E-2</v>
      </c>
      <c r="AP36" s="24">
        <f>(AP20-AO20)/AO20</f>
        <v>0.16935483870967741</v>
      </c>
      <c r="AQ36" s="24">
        <f t="shared" si="41"/>
        <v>1.3793103448275862E-2</v>
      </c>
      <c r="AR36" s="24">
        <f t="shared" si="41"/>
        <v>0</v>
      </c>
      <c r="AS36" s="24">
        <f t="shared" si="41"/>
        <v>-2.7210884353741496E-2</v>
      </c>
      <c r="AT36" s="24">
        <f t="shared" ref="AT36" si="42">(AT20-AS20)/AS20</f>
        <v>0.11888111888111888</v>
      </c>
    </row>
    <row r="37" spans="5:46" x14ac:dyDescent="0.35">
      <c r="E37" t="s">
        <v>246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>
        <f t="shared" ref="AM37:AS37" si="43">(AM21-AL21)/AL21</f>
        <v>0.10714285714285714</v>
      </c>
      <c r="AN37" s="24">
        <f t="shared" si="43"/>
        <v>0.20430107526881722</v>
      </c>
      <c r="AO37" s="24">
        <f t="shared" si="43"/>
        <v>-8.9285714285714281E-3</v>
      </c>
      <c r="AP37" s="24">
        <f>(AP21-AO21)/AO21</f>
        <v>3.6036036036036036E-2</v>
      </c>
      <c r="AQ37" s="24">
        <f t="shared" si="43"/>
        <v>0.15652173913043479</v>
      </c>
      <c r="AR37" s="24">
        <f t="shared" si="43"/>
        <v>0.12030075187969924</v>
      </c>
      <c r="AS37" s="24">
        <f t="shared" si="43"/>
        <v>-3.3557046979865772E-2</v>
      </c>
      <c r="AT37" s="24">
        <f t="shared" ref="AT37" si="44">(AT21-AS21)/AS21</f>
        <v>0.15972222222222221</v>
      </c>
    </row>
    <row r="38" spans="5:46" x14ac:dyDescent="0.35">
      <c r="E38" t="s">
        <v>245</v>
      </c>
      <c r="G38" s="24">
        <f t="shared" ref="G38:AS38" si="45">(G22-F22)/F22</f>
        <v>-4.1841004184100417E-2</v>
      </c>
      <c r="H38" s="24">
        <f t="shared" si="45"/>
        <v>-2.6200873362445413E-2</v>
      </c>
      <c r="I38" s="24">
        <f t="shared" si="45"/>
        <v>-3.1390134529147982E-2</v>
      </c>
      <c r="J38" s="24">
        <f t="shared" si="45"/>
        <v>4.1666666666666664E-2</v>
      </c>
      <c r="K38" s="24">
        <f t="shared" si="45"/>
        <v>-2.6666666666666668E-2</v>
      </c>
      <c r="L38" s="24">
        <f t="shared" si="45"/>
        <v>4.5662100456621002E-3</v>
      </c>
      <c r="M38" s="24">
        <f t="shared" si="45"/>
        <v>-1.3636363636363636E-2</v>
      </c>
      <c r="N38" s="24">
        <f t="shared" si="45"/>
        <v>-0.21658986175115208</v>
      </c>
      <c r="O38" s="24">
        <f t="shared" si="45"/>
        <v>0.3411764705882353</v>
      </c>
      <c r="P38" s="24">
        <f t="shared" si="45"/>
        <v>-4.8245614035087717E-2</v>
      </c>
      <c r="Q38" s="24">
        <f t="shared" si="45"/>
        <v>-9.2165898617511521E-3</v>
      </c>
      <c r="R38" s="24">
        <f t="shared" si="45"/>
        <v>8.3720930232558138E-2</v>
      </c>
      <c r="S38" s="24">
        <f t="shared" si="45"/>
        <v>1.7167381974248927E-2</v>
      </c>
      <c r="T38" s="24">
        <f t="shared" si="45"/>
        <v>-8.4388185654008432E-3</v>
      </c>
      <c r="U38" s="24">
        <f t="shared" si="45"/>
        <v>-3.8297872340425532E-2</v>
      </c>
      <c r="V38" s="24">
        <f t="shared" si="45"/>
        <v>6.1946902654867256E-2</v>
      </c>
      <c r="W38" s="24">
        <f t="shared" si="45"/>
        <v>0</v>
      </c>
      <c r="X38" s="24">
        <f t="shared" si="45"/>
        <v>8.3333333333333332E-3</v>
      </c>
      <c r="Y38" s="24">
        <f t="shared" si="45"/>
        <v>2.0661157024793389E-2</v>
      </c>
      <c r="Z38" s="24">
        <f t="shared" si="45"/>
        <v>3.643724696356275E-2</v>
      </c>
      <c r="AA38" s="24">
        <f t="shared" si="45"/>
        <v>4.6875E-2</v>
      </c>
      <c r="AB38" s="24">
        <f t="shared" si="45"/>
        <v>7.462686567164179E-3</v>
      </c>
      <c r="AC38" s="24">
        <f t="shared" si="45"/>
        <v>1.4814814814814815E-2</v>
      </c>
      <c r="AD38" s="24">
        <f t="shared" si="45"/>
        <v>7.2992700729927005E-3</v>
      </c>
      <c r="AE38" s="24">
        <f t="shared" si="45"/>
        <v>0.18478260869565216</v>
      </c>
      <c r="AF38" s="24">
        <f t="shared" si="45"/>
        <v>-3.0581039755351682E-3</v>
      </c>
      <c r="AG38" s="24">
        <f t="shared" si="45"/>
        <v>-3.0674846625766872E-3</v>
      </c>
      <c r="AH38" s="24">
        <f t="shared" si="45"/>
        <v>7.6923076923076927E-2</v>
      </c>
      <c r="AI38" s="24">
        <f t="shared" si="45"/>
        <v>-5.7142857142857143E-3</v>
      </c>
      <c r="AJ38" s="24">
        <f t="shared" si="45"/>
        <v>-2.2988505747126436E-2</v>
      </c>
      <c r="AK38" s="24">
        <f t="shared" si="45"/>
        <v>-1.7647058823529412E-2</v>
      </c>
      <c r="AL38" s="24">
        <f t="shared" si="45"/>
        <v>2.6946107784431138E-2</v>
      </c>
      <c r="AM38" s="24">
        <f t="shared" si="45"/>
        <v>0</v>
      </c>
      <c r="AN38" s="24">
        <f t="shared" si="45"/>
        <v>-2.0408163265306121E-2</v>
      </c>
      <c r="AO38" s="24">
        <f t="shared" si="45"/>
        <v>5.9523809523809521E-3</v>
      </c>
      <c r="AP38" s="24">
        <f>(AP22-AO22)/AO22</f>
        <v>1.4792899408284023E-2</v>
      </c>
      <c r="AQ38" s="24">
        <f t="shared" si="45"/>
        <v>-2.0408163265306121E-2</v>
      </c>
      <c r="AR38" s="24">
        <f t="shared" si="45"/>
        <v>0</v>
      </c>
      <c r="AS38" s="24">
        <f t="shared" si="45"/>
        <v>-2.6785714285714284E-2</v>
      </c>
      <c r="AT38" s="24">
        <f t="shared" ref="AT38" si="46">(AT22-AS22)/AS22</f>
        <v>3.669724770642202E-2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B35C-58F0-4BDB-8162-8EBA35841E39}">
  <dimension ref="A2:AV135"/>
  <sheetViews>
    <sheetView tabSelected="1" zoomScale="85" zoomScaleNormal="85" workbookViewId="0">
      <selection activeCell="G28" sqref="G28"/>
    </sheetView>
  </sheetViews>
  <sheetFormatPr defaultRowHeight="14.5" x14ac:dyDescent="0.35"/>
  <cols>
    <col min="1" max="1" width="35" bestFit="1" customWidth="1"/>
    <col min="2" max="2" width="12.7265625" bestFit="1" customWidth="1"/>
    <col min="3" max="3" width="14.7265625" bestFit="1" customWidth="1"/>
    <col min="4" max="5" width="13.36328125" bestFit="1" customWidth="1"/>
    <col min="6" max="6" width="15" bestFit="1" customWidth="1"/>
    <col min="12" max="12" width="14.1796875" bestFit="1" customWidth="1"/>
    <col min="13" max="13" width="7.26953125" customWidth="1"/>
    <col min="14" max="14" width="9" bestFit="1" customWidth="1"/>
    <col min="15" max="15" width="9.7265625" bestFit="1" customWidth="1"/>
    <col min="16" max="16" width="14.453125" bestFit="1" customWidth="1"/>
    <col min="17" max="17" width="7.1796875" bestFit="1" customWidth="1"/>
    <col min="18" max="18" width="16.08984375" bestFit="1" customWidth="1"/>
  </cols>
  <sheetData>
    <row r="2" spans="1:6" x14ac:dyDescent="0.35">
      <c r="A2" t="s">
        <v>263</v>
      </c>
      <c r="B2" s="83" t="s">
        <v>264</v>
      </c>
      <c r="C2" s="83" t="s">
        <v>277</v>
      </c>
      <c r="D2" s="83" t="s">
        <v>266</v>
      </c>
      <c r="E2" s="83" t="s">
        <v>258</v>
      </c>
    </row>
    <row r="3" spans="1:6" x14ac:dyDescent="0.35">
      <c r="A3" t="s">
        <v>240</v>
      </c>
      <c r="B3" s="83">
        <f>'Segment Rev+OPI build'!AJ39</f>
        <v>1334.9941240000001</v>
      </c>
      <c r="C3" s="83">
        <v>6</v>
      </c>
      <c r="D3" s="83">
        <f>(B3*C3)</f>
        <v>8009.9647440000008</v>
      </c>
      <c r="E3" s="24">
        <f>D3/$B$25</f>
        <v>8.6465727399543529E-2</v>
      </c>
    </row>
    <row r="4" spans="1:6" x14ac:dyDescent="0.35">
      <c r="A4" t="s">
        <v>238</v>
      </c>
      <c r="B4" s="83">
        <f>'Segment Rev+OPI build'!AJ48</f>
        <v>1491.5612250000004</v>
      </c>
      <c r="C4" s="83">
        <v>11</v>
      </c>
      <c r="D4" s="83">
        <f t="shared" ref="D4:D5" si="0">(B4*C4)</f>
        <v>16407.173475000003</v>
      </c>
      <c r="E4" s="24">
        <f t="shared" ref="E4:E23" si="1">D4/$B$25</f>
        <v>0.17711166458616956</v>
      </c>
    </row>
    <row r="5" spans="1:6" x14ac:dyDescent="0.35">
      <c r="A5" t="s">
        <v>239</v>
      </c>
      <c r="B5" s="83">
        <f>'Segment Rev+OPI build'!AJ32</f>
        <v>547.33365000000003</v>
      </c>
      <c r="C5" s="83">
        <v>11</v>
      </c>
      <c r="D5" s="83">
        <f t="shared" si="0"/>
        <v>6020.6701499999999</v>
      </c>
      <c r="E5" s="24">
        <f t="shared" si="1"/>
        <v>6.4991749725542711E-2</v>
      </c>
    </row>
    <row r="6" spans="1:6" x14ac:dyDescent="0.35">
      <c r="A6" s="33" t="s">
        <v>155</v>
      </c>
      <c r="B6" s="83">
        <f>SUM(B3:B5)</f>
        <v>3373.8889990000002</v>
      </c>
      <c r="C6" s="83" t="s">
        <v>257</v>
      </c>
      <c r="D6" s="83">
        <f>SUM(D3:D5)</f>
        <v>30437.808369000006</v>
      </c>
      <c r="E6" s="24">
        <f t="shared" si="1"/>
        <v>0.32856914171125584</v>
      </c>
      <c r="F6" t="s">
        <v>257</v>
      </c>
    </row>
    <row r="7" spans="1:6" x14ac:dyDescent="0.35">
      <c r="A7" s="33"/>
      <c r="B7" s="83"/>
      <c r="C7" s="83"/>
      <c r="D7" s="83"/>
      <c r="E7" s="24"/>
    </row>
    <row r="8" spans="1:6" x14ac:dyDescent="0.35">
      <c r="B8" t="s">
        <v>299</v>
      </c>
      <c r="D8" s="83"/>
      <c r="E8" s="24"/>
    </row>
    <row r="9" spans="1:6" x14ac:dyDescent="0.35">
      <c r="A9" s="33" t="s">
        <v>265</v>
      </c>
      <c r="B9">
        <v>113</v>
      </c>
      <c r="C9" s="83">
        <v>1</v>
      </c>
      <c r="D9" s="83">
        <f>(B9*C9)</f>
        <v>113</v>
      </c>
      <c r="E9" s="24">
        <f t="shared" si="1"/>
        <v>1.21980901394944E-3</v>
      </c>
    </row>
    <row r="10" spans="1:6" x14ac:dyDescent="0.35">
      <c r="E10" s="24"/>
    </row>
    <row r="11" spans="1:6" x14ac:dyDescent="0.35">
      <c r="A11" s="33" t="s">
        <v>148</v>
      </c>
      <c r="E11" s="24"/>
    </row>
    <row r="12" spans="1:6" x14ac:dyDescent="0.35">
      <c r="A12" t="s">
        <v>268</v>
      </c>
      <c r="C12" t="s">
        <v>282</v>
      </c>
      <c r="D12" s="84">
        <f>B79</f>
        <v>6201.6780570973851</v>
      </c>
      <c r="E12" s="24">
        <f t="shared" si="1"/>
        <v>6.6945688457166724E-2</v>
      </c>
    </row>
    <row r="13" spans="1:6" x14ac:dyDescent="0.35">
      <c r="A13" t="s">
        <v>269</v>
      </c>
      <c r="C13" t="s">
        <v>282</v>
      </c>
      <c r="D13" s="84">
        <f>B92</f>
        <v>18460.278310679289</v>
      </c>
      <c r="E13" s="24">
        <f t="shared" si="1"/>
        <v>0.19927445914497288</v>
      </c>
    </row>
    <row r="14" spans="1:6" x14ac:dyDescent="0.35">
      <c r="A14" t="s">
        <v>270</v>
      </c>
      <c r="C14" t="s">
        <v>282</v>
      </c>
      <c r="D14" s="84">
        <f>B105</f>
        <v>996.15472465219943</v>
      </c>
      <c r="E14" s="24">
        <f t="shared" si="1"/>
        <v>1.0753261171850223E-2</v>
      </c>
    </row>
    <row r="15" spans="1:6" x14ac:dyDescent="0.35">
      <c r="A15" t="s">
        <v>271</v>
      </c>
      <c r="C15" t="s">
        <v>282</v>
      </c>
      <c r="D15" s="84">
        <f>B120</f>
        <v>7743.8814616184163</v>
      </c>
      <c r="E15" s="24">
        <f t="shared" si="1"/>
        <v>8.3593419556089454E-2</v>
      </c>
    </row>
    <row r="16" spans="1:6" x14ac:dyDescent="0.35">
      <c r="A16" t="s">
        <v>259</v>
      </c>
      <c r="C16" t="s">
        <v>282</v>
      </c>
      <c r="D16" s="84">
        <f>B135</f>
        <v>12576.651914043927</v>
      </c>
      <c r="E16" s="24">
        <f t="shared" si="1"/>
        <v>0.13576206522172796</v>
      </c>
    </row>
    <row r="17" spans="1:5" x14ac:dyDescent="0.35">
      <c r="A17" t="s">
        <v>261</v>
      </c>
      <c r="C17" t="s">
        <v>283</v>
      </c>
      <c r="D17" s="84">
        <v>910</v>
      </c>
      <c r="E17" s="24">
        <f t="shared" si="1"/>
        <v>9.8232407318052245E-3</v>
      </c>
    </row>
    <row r="18" spans="1:5" x14ac:dyDescent="0.35">
      <c r="A18" t="s">
        <v>272</v>
      </c>
      <c r="C18" t="s">
        <v>283</v>
      </c>
      <c r="D18" s="84">
        <v>962</v>
      </c>
      <c r="E18" s="24">
        <f t="shared" si="1"/>
        <v>1.0384568773622666E-2</v>
      </c>
    </row>
    <row r="19" spans="1:5" x14ac:dyDescent="0.35">
      <c r="A19" t="s">
        <v>260</v>
      </c>
      <c r="C19" t="s">
        <v>284</v>
      </c>
      <c r="D19" s="84">
        <v>535</v>
      </c>
      <c r="E19" s="24">
        <f t="shared" si="1"/>
        <v>5.7752019686986757E-3</v>
      </c>
    </row>
    <row r="20" spans="1:5" x14ac:dyDescent="0.35">
      <c r="A20" t="s">
        <v>273</v>
      </c>
      <c r="C20" t="s">
        <v>284</v>
      </c>
      <c r="D20" s="84">
        <v>4233</v>
      </c>
      <c r="E20" s="24">
        <f t="shared" si="1"/>
        <v>4.5694261557946717E-2</v>
      </c>
    </row>
    <row r="21" spans="1:5" x14ac:dyDescent="0.35">
      <c r="A21" t="s">
        <v>274</v>
      </c>
      <c r="C21" t="s">
        <v>284</v>
      </c>
      <c r="D21" s="84">
        <v>1126</v>
      </c>
      <c r="E21" s="24">
        <f t="shared" si="1"/>
        <v>1.2154911059354597E-2</v>
      </c>
    </row>
    <row r="22" spans="1:5" x14ac:dyDescent="0.35">
      <c r="A22" t="s">
        <v>275</v>
      </c>
      <c r="B22">
        <v>609</v>
      </c>
      <c r="C22">
        <v>12</v>
      </c>
      <c r="D22" s="84">
        <f>B22*C22</f>
        <v>7308</v>
      </c>
      <c r="E22" s="24">
        <f t="shared" si="1"/>
        <v>7.8888179415420409E-2</v>
      </c>
    </row>
    <row r="23" spans="1:5" x14ac:dyDescent="0.35">
      <c r="A23" t="s">
        <v>276</v>
      </c>
      <c r="C23" t="s">
        <v>284</v>
      </c>
      <c r="D23" s="84">
        <v>1034</v>
      </c>
      <c r="E23" s="24">
        <f t="shared" si="1"/>
        <v>1.1161792216139122E-2</v>
      </c>
    </row>
    <row r="25" spans="1:5" x14ac:dyDescent="0.35">
      <c r="A25" t="s">
        <v>262</v>
      </c>
      <c r="B25" s="83">
        <f>SUM(D6:D23)</f>
        <v>92637.45283709123</v>
      </c>
    </row>
    <row r="26" spans="1:5" x14ac:dyDescent="0.35">
      <c r="A26" t="s">
        <v>144</v>
      </c>
      <c r="B26">
        <v>-15391</v>
      </c>
    </row>
    <row r="27" spans="1:5" x14ac:dyDescent="0.35">
      <c r="A27" t="s">
        <v>267</v>
      </c>
      <c r="B27">
        <v>-5200</v>
      </c>
    </row>
    <row r="28" spans="1:5" x14ac:dyDescent="0.35">
      <c r="A28" t="s">
        <v>285</v>
      </c>
      <c r="B28" s="83">
        <f>SUM(B25:B27)</f>
        <v>72046.45283709123</v>
      </c>
    </row>
    <row r="29" spans="1:5" x14ac:dyDescent="0.35">
      <c r="A29" t="s">
        <v>286</v>
      </c>
      <c r="B29">
        <f>B28/575</f>
        <v>125.29817884711518</v>
      </c>
    </row>
    <row r="46" spans="14:18" x14ac:dyDescent="0.35">
      <c r="N46" s="83"/>
      <c r="O46" s="83" t="s">
        <v>257</v>
      </c>
      <c r="P46" s="83" t="s">
        <v>257</v>
      </c>
      <c r="Q46" s="83" t="s">
        <v>257</v>
      </c>
      <c r="R46" t="s">
        <v>257</v>
      </c>
    </row>
    <row r="47" spans="14:18" x14ac:dyDescent="0.35">
      <c r="N47" s="83"/>
      <c r="O47" s="83" t="s">
        <v>257</v>
      </c>
      <c r="P47" s="83" t="s">
        <v>257</v>
      </c>
      <c r="Q47" s="83" t="s">
        <v>257</v>
      </c>
      <c r="R47" t="s">
        <v>257</v>
      </c>
    </row>
    <row r="67" spans="1:15" x14ac:dyDescent="0.35">
      <c r="B67" s="28"/>
    </row>
    <row r="69" spans="1:15" x14ac:dyDescent="0.35">
      <c r="B69">
        <v>2024</v>
      </c>
      <c r="C69">
        <f>B69+1</f>
        <v>2025</v>
      </c>
      <c r="D69">
        <f t="shared" ref="D69:K69" si="2">C69+1</f>
        <v>2026</v>
      </c>
      <c r="E69">
        <f t="shared" si="2"/>
        <v>2027</v>
      </c>
      <c r="F69">
        <f t="shared" si="2"/>
        <v>2028</v>
      </c>
      <c r="G69">
        <f t="shared" si="2"/>
        <v>2029</v>
      </c>
      <c r="H69">
        <f t="shared" si="2"/>
        <v>2030</v>
      </c>
      <c r="I69">
        <f t="shared" si="2"/>
        <v>2031</v>
      </c>
      <c r="J69">
        <f t="shared" si="2"/>
        <v>2032</v>
      </c>
      <c r="K69">
        <f t="shared" si="2"/>
        <v>2033</v>
      </c>
      <c r="L69">
        <f>K69+1</f>
        <v>2034</v>
      </c>
    </row>
    <row r="70" spans="1:15" x14ac:dyDescent="0.35">
      <c r="A70" t="s">
        <v>268</v>
      </c>
    </row>
    <row r="71" spans="1:15" x14ac:dyDescent="0.35">
      <c r="A71" t="s">
        <v>287</v>
      </c>
      <c r="B71">
        <v>1622</v>
      </c>
      <c r="C71">
        <f>(1+C72)*B71</f>
        <v>1656.0619999999999</v>
      </c>
      <c r="D71">
        <f t="shared" ref="D71:L71" si="3">(1+D72)*C71</f>
        <v>1690.8393019999996</v>
      </c>
      <c r="E71">
        <f t="shared" si="3"/>
        <v>1726.3469273419994</v>
      </c>
      <c r="F71">
        <f t="shared" si="3"/>
        <v>1762.6002128161813</v>
      </c>
      <c r="G71">
        <f t="shared" si="3"/>
        <v>1799.6148172853209</v>
      </c>
      <c r="H71">
        <f t="shared" si="3"/>
        <v>1837.4067284483124</v>
      </c>
      <c r="I71">
        <f t="shared" si="3"/>
        <v>1875.9922697457268</v>
      </c>
      <c r="J71">
        <f t="shared" si="3"/>
        <v>1915.388107410387</v>
      </c>
      <c r="K71">
        <f t="shared" si="3"/>
        <v>1955.6112576660048</v>
      </c>
      <c r="L71">
        <f t="shared" si="3"/>
        <v>1996.6790940769906</v>
      </c>
    </row>
    <row r="72" spans="1:15" x14ac:dyDescent="0.35">
      <c r="A72" t="s">
        <v>288</v>
      </c>
      <c r="C72" s="28">
        <v>2.1000000000000001E-2</v>
      </c>
      <c r="D72" s="28">
        <v>2.1000000000000001E-2</v>
      </c>
      <c r="E72" s="28">
        <v>2.1000000000000001E-2</v>
      </c>
      <c r="F72" s="28">
        <v>2.1000000000000001E-2</v>
      </c>
      <c r="G72" s="28">
        <v>2.1000000000000001E-2</v>
      </c>
      <c r="H72" s="28">
        <v>2.1000000000000001E-2</v>
      </c>
      <c r="I72" s="28">
        <v>2.1000000000000001E-2</v>
      </c>
      <c r="J72" s="28">
        <v>2.1000000000000001E-2</v>
      </c>
      <c r="K72" s="28">
        <v>2.1000000000000001E-2</v>
      </c>
      <c r="L72" s="28">
        <v>2.1000000000000001E-2</v>
      </c>
    </row>
    <row r="73" spans="1:15" x14ac:dyDescent="0.35">
      <c r="A73" t="s">
        <v>289</v>
      </c>
      <c r="B73" s="92">
        <v>0.7</v>
      </c>
      <c r="C73" s="92">
        <v>0.7</v>
      </c>
      <c r="D73" s="92">
        <v>0.7</v>
      </c>
      <c r="E73" s="92">
        <v>0.7</v>
      </c>
      <c r="F73" s="92">
        <v>0.7</v>
      </c>
      <c r="G73" s="92">
        <v>0.7</v>
      </c>
      <c r="H73" s="92">
        <v>0.7</v>
      </c>
      <c r="I73" s="92">
        <v>0.7</v>
      </c>
      <c r="J73" s="92">
        <v>0.7</v>
      </c>
      <c r="K73" s="92">
        <v>0.7</v>
      </c>
      <c r="L73" s="92">
        <v>0.7</v>
      </c>
    </row>
    <row r="74" spans="1:15" x14ac:dyDescent="0.35">
      <c r="A74" t="s">
        <v>54</v>
      </c>
      <c r="B74">
        <f>B73*B71</f>
        <v>1135.3999999999999</v>
      </c>
      <c r="C74">
        <f t="shared" ref="C74:L74" si="4">C73*C71</f>
        <v>1159.2433999999998</v>
      </c>
      <c r="D74">
        <f t="shared" si="4"/>
        <v>1183.5875113999996</v>
      </c>
      <c r="E74">
        <f t="shared" si="4"/>
        <v>1208.4428491393994</v>
      </c>
      <c r="F74">
        <f t="shared" si="4"/>
        <v>1233.8201489713267</v>
      </c>
      <c r="G74">
        <f t="shared" si="4"/>
        <v>1259.7303720997245</v>
      </c>
      <c r="H74">
        <f t="shared" si="4"/>
        <v>1286.1847099138186</v>
      </c>
      <c r="I74">
        <f t="shared" si="4"/>
        <v>1313.1945888220087</v>
      </c>
      <c r="J74">
        <f t="shared" si="4"/>
        <v>1340.7716751872708</v>
      </c>
      <c r="K74">
        <f t="shared" si="4"/>
        <v>1368.9278803662032</v>
      </c>
      <c r="L74">
        <f t="shared" si="4"/>
        <v>1397.6753658538933</v>
      </c>
      <c r="N74" t="s">
        <v>280</v>
      </c>
      <c r="O74" t="s">
        <v>290</v>
      </c>
    </row>
    <row r="75" spans="1:15" x14ac:dyDescent="0.35">
      <c r="A75" t="s">
        <v>291</v>
      </c>
      <c r="B75" s="92">
        <f>0.03</f>
        <v>0.03</v>
      </c>
      <c r="C75" s="92">
        <f t="shared" ref="C75:L75" si="5">0.03</f>
        <v>0.03</v>
      </c>
      <c r="D75" s="92">
        <f t="shared" si="5"/>
        <v>0.03</v>
      </c>
      <c r="E75" s="92">
        <f t="shared" si="5"/>
        <v>0.03</v>
      </c>
      <c r="F75" s="92">
        <f t="shared" si="5"/>
        <v>0.03</v>
      </c>
      <c r="G75" s="92">
        <f t="shared" si="5"/>
        <v>0.03</v>
      </c>
      <c r="H75" s="92">
        <f t="shared" si="5"/>
        <v>0.03</v>
      </c>
      <c r="I75" s="92">
        <f t="shared" si="5"/>
        <v>0.03</v>
      </c>
      <c r="J75" s="92">
        <f t="shared" si="5"/>
        <v>0.03</v>
      </c>
      <c r="K75" s="92">
        <f t="shared" si="5"/>
        <v>0.03</v>
      </c>
      <c r="L75" s="92">
        <f t="shared" si="5"/>
        <v>0.03</v>
      </c>
    </row>
    <row r="76" spans="1:15" x14ac:dyDescent="0.35">
      <c r="A76" t="s">
        <v>181</v>
      </c>
      <c r="B76">
        <f>-B75*B71</f>
        <v>-48.66</v>
      </c>
      <c r="C76">
        <f t="shared" ref="C76:L76" si="6">-C75*C71</f>
        <v>-49.681859999999993</v>
      </c>
      <c r="D76">
        <f t="shared" si="6"/>
        <v>-50.725179059999988</v>
      </c>
      <c r="E76">
        <f t="shared" si="6"/>
        <v>-51.790407820259979</v>
      </c>
      <c r="F76">
        <f>-F75*F71</f>
        <v>-52.878006384485438</v>
      </c>
      <c r="G76">
        <f t="shared" si="6"/>
        <v>-53.988444518559625</v>
      </c>
      <c r="H76">
        <f t="shared" si="6"/>
        <v>-55.122201853449369</v>
      </c>
      <c r="I76">
        <f t="shared" si="6"/>
        <v>-56.279768092371803</v>
      </c>
      <c r="J76">
        <f t="shared" si="6"/>
        <v>-57.461643222311608</v>
      </c>
      <c r="K76">
        <f t="shared" si="6"/>
        <v>-58.668337729980145</v>
      </c>
      <c r="L76">
        <f t="shared" si="6"/>
        <v>-59.90037282230972</v>
      </c>
      <c r="N76">
        <v>6.9000000000000006E-2</v>
      </c>
      <c r="O76">
        <f>0.26</f>
        <v>0.26</v>
      </c>
    </row>
    <row r="77" spans="1:15" x14ac:dyDescent="0.35">
      <c r="A77" t="s">
        <v>278</v>
      </c>
      <c r="B77">
        <f>-(B74)*$O$76</f>
        <v>-295.20399999999995</v>
      </c>
      <c r="C77">
        <f t="shared" ref="C77:L77" si="7">-(C74)*$O$76</f>
        <v>-301.40328399999999</v>
      </c>
      <c r="D77">
        <f t="shared" si="7"/>
        <v>-307.73275296399993</v>
      </c>
      <c r="E77">
        <f t="shared" si="7"/>
        <v>-314.19514077624387</v>
      </c>
      <c r="F77">
        <f t="shared" si="7"/>
        <v>-320.79323873254498</v>
      </c>
      <c r="G77">
        <f t="shared" si="7"/>
        <v>-327.5298967459284</v>
      </c>
      <c r="H77">
        <f t="shared" si="7"/>
        <v>-334.40802457759281</v>
      </c>
      <c r="I77">
        <f t="shared" si="7"/>
        <v>-341.43059309372228</v>
      </c>
      <c r="J77">
        <f t="shared" si="7"/>
        <v>-348.60063554869043</v>
      </c>
      <c r="K77">
        <f t="shared" si="7"/>
        <v>-355.92124889521284</v>
      </c>
      <c r="L77">
        <f t="shared" si="7"/>
        <v>-363.39559512201225</v>
      </c>
    </row>
    <row r="78" spans="1:15" x14ac:dyDescent="0.35">
      <c r="A78" t="s">
        <v>292</v>
      </c>
      <c r="B78">
        <f>SUM(B74,B76,B77)</f>
        <v>791.53599999999983</v>
      </c>
      <c r="C78">
        <f>SUM(C74,C76,C77)</f>
        <v>808.15825599999994</v>
      </c>
      <c r="D78">
        <f t="shared" ref="D78:L78" si="8">SUM(D74,D76,D77)</f>
        <v>825.12957937599958</v>
      </c>
      <c r="E78">
        <f t="shared" si="8"/>
        <v>842.4573005428955</v>
      </c>
      <c r="F78">
        <f t="shared" si="8"/>
        <v>860.14890385429635</v>
      </c>
      <c r="G78">
        <f t="shared" si="8"/>
        <v>878.21203083523642</v>
      </c>
      <c r="H78">
        <f t="shared" si="8"/>
        <v>896.65448348277641</v>
      </c>
      <c r="I78">
        <f t="shared" si="8"/>
        <v>915.48422763591452</v>
      </c>
      <c r="J78">
        <f t="shared" si="8"/>
        <v>934.70939641626887</v>
      </c>
      <c r="K78">
        <f t="shared" si="8"/>
        <v>954.33829374101038</v>
      </c>
      <c r="L78">
        <f t="shared" si="8"/>
        <v>974.37939790957125</v>
      </c>
    </row>
    <row r="79" spans="1:15" x14ac:dyDescent="0.35">
      <c r="A79" t="s">
        <v>281</v>
      </c>
      <c r="B79" s="32">
        <f>NPV(N76,C78:L78)</f>
        <v>6201.6780570973851</v>
      </c>
    </row>
    <row r="83" spans="1:48" x14ac:dyDescent="0.35">
      <c r="A83" t="s">
        <v>269</v>
      </c>
      <c r="B83">
        <f>B69</f>
        <v>2024</v>
      </c>
      <c r="C83">
        <f t="shared" ref="C83:L83" si="9">C69</f>
        <v>2025</v>
      </c>
      <c r="D83">
        <f t="shared" si="9"/>
        <v>2026</v>
      </c>
      <c r="E83">
        <f t="shared" si="9"/>
        <v>2027</v>
      </c>
      <c r="F83">
        <f t="shared" si="9"/>
        <v>2028</v>
      </c>
      <c r="G83">
        <f t="shared" si="9"/>
        <v>2029</v>
      </c>
      <c r="H83">
        <f t="shared" si="9"/>
        <v>2030</v>
      </c>
      <c r="I83">
        <f t="shared" si="9"/>
        <v>2031</v>
      </c>
      <c r="J83">
        <f t="shared" si="9"/>
        <v>2032</v>
      </c>
      <c r="K83">
        <f t="shared" si="9"/>
        <v>2033</v>
      </c>
      <c r="L83">
        <f t="shared" si="9"/>
        <v>2034</v>
      </c>
      <c r="M83">
        <f>2035</f>
        <v>2035</v>
      </c>
      <c r="N83">
        <v>2036</v>
      </c>
      <c r="P83" t="s">
        <v>280</v>
      </c>
      <c r="Q83" t="s">
        <v>290</v>
      </c>
    </row>
    <row r="84" spans="1:48" x14ac:dyDescent="0.35">
      <c r="A84" t="s">
        <v>293</v>
      </c>
      <c r="B84">
        <v>4708</v>
      </c>
      <c r="C84">
        <f>(1+C85)*B84</f>
        <v>4802.16</v>
      </c>
      <c r="D84">
        <f t="shared" ref="D84:N84" si="10">(1+D85)*C84</f>
        <v>4898.2031999999999</v>
      </c>
      <c r="E84">
        <f t="shared" si="10"/>
        <v>4996.1672639999997</v>
      </c>
      <c r="F84">
        <f t="shared" si="10"/>
        <v>5096.0906092799996</v>
      </c>
      <c r="G84">
        <f t="shared" si="10"/>
        <v>5198.0124214655998</v>
      </c>
      <c r="H84">
        <f t="shared" si="10"/>
        <v>5301.9726698949116</v>
      </c>
      <c r="I84">
        <f t="shared" si="10"/>
        <v>5408.0121232928095</v>
      </c>
      <c r="J84">
        <f t="shared" si="10"/>
        <v>4867.2109109635285</v>
      </c>
      <c r="K84">
        <f t="shared" si="10"/>
        <v>4964.5551291827987</v>
      </c>
      <c r="L84">
        <f t="shared" si="10"/>
        <v>5063.8462317664544</v>
      </c>
      <c r="M84">
        <f t="shared" si="10"/>
        <v>5165.1231564017835</v>
      </c>
      <c r="N84">
        <f t="shared" si="10"/>
        <v>2582.5615782008917</v>
      </c>
      <c r="Q84">
        <v>0.26</v>
      </c>
    </row>
    <row r="85" spans="1:48" x14ac:dyDescent="0.35">
      <c r="A85" t="s">
        <v>288</v>
      </c>
      <c r="C85">
        <v>0.02</v>
      </c>
      <c r="D85">
        <v>0.02</v>
      </c>
      <c r="E85">
        <v>0.02</v>
      </c>
      <c r="F85">
        <v>0.02</v>
      </c>
      <c r="G85">
        <v>0.02</v>
      </c>
      <c r="H85">
        <v>0.02</v>
      </c>
      <c r="I85">
        <v>0.02</v>
      </c>
      <c r="J85">
        <v>-0.1</v>
      </c>
      <c r="K85">
        <v>0.02</v>
      </c>
      <c r="L85">
        <v>0.02</v>
      </c>
      <c r="M85">
        <v>0.02</v>
      </c>
      <c r="N85">
        <v>-0.5</v>
      </c>
    </row>
    <row r="86" spans="1:48" x14ac:dyDescent="0.35">
      <c r="A86" t="s">
        <v>289</v>
      </c>
      <c r="B86">
        <v>0.7</v>
      </c>
      <c r="C86">
        <v>0.7</v>
      </c>
      <c r="D86">
        <v>0.7</v>
      </c>
      <c r="E86">
        <v>0.7</v>
      </c>
      <c r="F86">
        <v>0.7</v>
      </c>
      <c r="G86">
        <v>0.7</v>
      </c>
      <c r="H86">
        <v>0.7</v>
      </c>
      <c r="I86">
        <v>0.7</v>
      </c>
      <c r="J86">
        <v>0.7</v>
      </c>
      <c r="K86">
        <v>0.7</v>
      </c>
      <c r="L86">
        <v>0.7</v>
      </c>
      <c r="M86">
        <v>0.7</v>
      </c>
      <c r="N86">
        <v>0.7</v>
      </c>
    </row>
    <row r="87" spans="1:48" x14ac:dyDescent="0.35">
      <c r="A87" t="s">
        <v>54</v>
      </c>
      <c r="B87">
        <f>B86*B84</f>
        <v>3295.6</v>
      </c>
      <c r="C87">
        <f t="shared" ref="C87:N87" si="11">C86*C84</f>
        <v>3361.5119999999997</v>
      </c>
      <c r="D87">
        <f t="shared" si="11"/>
        <v>3428.7422399999996</v>
      </c>
      <c r="E87">
        <f t="shared" si="11"/>
        <v>3497.3170847999995</v>
      </c>
      <c r="F87">
        <f t="shared" si="11"/>
        <v>3567.2634264959997</v>
      </c>
      <c r="G87">
        <f t="shared" si="11"/>
        <v>3638.6086950259196</v>
      </c>
      <c r="H87">
        <f t="shared" si="11"/>
        <v>3711.3808689264379</v>
      </c>
      <c r="I87">
        <f t="shared" si="11"/>
        <v>3785.6084863049664</v>
      </c>
      <c r="J87">
        <f t="shared" si="11"/>
        <v>3407.0476376744696</v>
      </c>
      <c r="K87">
        <f t="shared" si="11"/>
        <v>3475.1885904279588</v>
      </c>
      <c r="L87">
        <f t="shared" si="11"/>
        <v>3544.692362236518</v>
      </c>
      <c r="M87">
        <f t="shared" si="11"/>
        <v>3615.5862094812483</v>
      </c>
      <c r="N87">
        <f t="shared" si="11"/>
        <v>1807.7931047406241</v>
      </c>
      <c r="P87">
        <v>6.9000000000000006E-2</v>
      </c>
    </row>
    <row r="88" spans="1:48" x14ac:dyDescent="0.35">
      <c r="A88" t="s">
        <v>294</v>
      </c>
      <c r="B88">
        <v>0.1</v>
      </c>
      <c r="C88">
        <v>0.1</v>
      </c>
      <c r="D88">
        <v>0.1</v>
      </c>
      <c r="E88">
        <v>0.04</v>
      </c>
      <c r="F88">
        <v>0.04</v>
      </c>
      <c r="G88">
        <v>0.03</v>
      </c>
      <c r="H88">
        <v>0.03</v>
      </c>
      <c r="I88">
        <v>0.03</v>
      </c>
      <c r="J88">
        <v>0.03</v>
      </c>
      <c r="K88">
        <v>0.03</v>
      </c>
      <c r="L88">
        <v>0.03</v>
      </c>
      <c r="M88">
        <v>0.03</v>
      </c>
      <c r="N88">
        <v>0.03</v>
      </c>
    </row>
    <row r="89" spans="1:48" x14ac:dyDescent="0.35">
      <c r="A89" t="s">
        <v>181</v>
      </c>
      <c r="B89">
        <f>-B88*B84</f>
        <v>-470.8</v>
      </c>
      <c r="C89">
        <f t="shared" ref="C89:N89" si="12">-C88*C84</f>
        <v>-480.21600000000001</v>
      </c>
      <c r="D89">
        <f t="shared" si="12"/>
        <v>-489.82032000000004</v>
      </c>
      <c r="E89">
        <f t="shared" si="12"/>
        <v>-199.84669055999998</v>
      </c>
      <c r="F89">
        <f t="shared" si="12"/>
        <v>-203.84362437119998</v>
      </c>
      <c r="G89">
        <f t="shared" si="12"/>
        <v>-155.94037264396798</v>
      </c>
      <c r="H89">
        <f t="shared" si="12"/>
        <v>-159.05918009684734</v>
      </c>
      <c r="I89">
        <f t="shared" si="12"/>
        <v>-162.24036369878428</v>
      </c>
      <c r="J89">
        <f t="shared" si="12"/>
        <v>-146.01632732890585</v>
      </c>
      <c r="K89">
        <f t="shared" si="12"/>
        <v>-148.93665387548396</v>
      </c>
      <c r="L89">
        <f t="shared" si="12"/>
        <v>-151.91538695299363</v>
      </c>
      <c r="M89">
        <f t="shared" si="12"/>
        <v>-154.95369469205349</v>
      </c>
      <c r="N89">
        <f t="shared" si="12"/>
        <v>-77.476847346026744</v>
      </c>
    </row>
    <row r="90" spans="1:48" x14ac:dyDescent="0.35">
      <c r="A90" t="s">
        <v>278</v>
      </c>
      <c r="B90">
        <f>SUM(B87)*-$Q$84</f>
        <v>-856.85599999999999</v>
      </c>
      <c r="C90">
        <f t="shared" ref="C90:N90" si="13">SUM(C87)*-$Q$84</f>
        <v>-873.99311999999998</v>
      </c>
      <c r="D90">
        <f t="shared" si="13"/>
        <v>-891.47298239999998</v>
      </c>
      <c r="E90">
        <f t="shared" si="13"/>
        <v>-909.30244204799988</v>
      </c>
      <c r="F90">
        <f t="shared" si="13"/>
        <v>-927.48849088895997</v>
      </c>
      <c r="G90">
        <f t="shared" si="13"/>
        <v>-946.03826070673915</v>
      </c>
      <c r="H90">
        <f t="shared" si="13"/>
        <v>-964.95902592087384</v>
      </c>
      <c r="I90">
        <f t="shared" si="13"/>
        <v>-984.25820643929126</v>
      </c>
      <c r="J90">
        <f t="shared" si="13"/>
        <v>-885.83238579536214</v>
      </c>
      <c r="K90">
        <f t="shared" si="13"/>
        <v>-903.54903351126939</v>
      </c>
      <c r="L90">
        <f t="shared" si="13"/>
        <v>-921.62001418149475</v>
      </c>
      <c r="M90">
        <f t="shared" si="13"/>
        <v>-940.05241446512457</v>
      </c>
      <c r="N90">
        <f t="shared" si="13"/>
        <v>-470.02620723256229</v>
      </c>
    </row>
    <row r="91" spans="1:48" x14ac:dyDescent="0.35">
      <c r="A91" t="s">
        <v>279</v>
      </c>
      <c r="B91">
        <f>SUM(B87,B89:B90)</f>
        <v>1967.9439999999997</v>
      </c>
      <c r="C91">
        <f t="shared" ref="C91:N91" si="14">SUM(C87,C89:C90)</f>
        <v>2007.3028799999997</v>
      </c>
      <c r="D91">
        <f t="shared" si="14"/>
        <v>2047.4489375999997</v>
      </c>
      <c r="E91">
        <f t="shared" si="14"/>
        <v>2388.1679521919996</v>
      </c>
      <c r="F91">
        <f t="shared" si="14"/>
        <v>2435.93131123584</v>
      </c>
      <c r="G91">
        <f t="shared" si="14"/>
        <v>2536.6300616752128</v>
      </c>
      <c r="H91">
        <f t="shared" si="14"/>
        <v>2587.3626629087166</v>
      </c>
      <c r="I91">
        <f t="shared" si="14"/>
        <v>2639.1099161668908</v>
      </c>
      <c r="J91">
        <f t="shared" si="14"/>
        <v>2375.1989245502018</v>
      </c>
      <c r="K91">
        <f t="shared" si="14"/>
        <v>2422.7029030412054</v>
      </c>
      <c r="L91">
        <f t="shared" si="14"/>
        <v>2471.1569611020295</v>
      </c>
      <c r="M91">
        <f t="shared" si="14"/>
        <v>2520.5801003240704</v>
      </c>
      <c r="N91">
        <f t="shared" si="14"/>
        <v>1260.2900501620352</v>
      </c>
    </row>
    <row r="92" spans="1:48" x14ac:dyDescent="0.35">
      <c r="A92" t="s">
        <v>281</v>
      </c>
      <c r="B92" s="32">
        <f>NPV(P87,C91:N91)</f>
        <v>18460.278310679289</v>
      </c>
      <c r="P92" t="s">
        <v>280</v>
      </c>
      <c r="Q92" t="s">
        <v>278</v>
      </c>
    </row>
    <row r="93" spans="1:48" x14ac:dyDescent="0.35">
      <c r="P93">
        <v>6.9000000000000006E-2</v>
      </c>
      <c r="Q93">
        <v>0.34</v>
      </c>
    </row>
    <row r="96" spans="1:48" x14ac:dyDescent="0.35">
      <c r="A96" t="s">
        <v>270</v>
      </c>
      <c r="B96">
        <v>2024</v>
      </c>
      <c r="C96">
        <v>2025</v>
      </c>
      <c r="D96">
        <v>2026</v>
      </c>
      <c r="E96">
        <v>2027</v>
      </c>
      <c r="F96">
        <v>2028</v>
      </c>
      <c r="G96">
        <v>2029</v>
      </c>
      <c r="H96">
        <v>2030</v>
      </c>
      <c r="I96">
        <v>2031</v>
      </c>
      <c r="J96">
        <v>2032</v>
      </c>
      <c r="K96">
        <v>2033</v>
      </c>
      <c r="L96">
        <v>2034</v>
      </c>
      <c r="M96">
        <v>2035</v>
      </c>
      <c r="N96">
        <v>2036</v>
      </c>
      <c r="O96">
        <f>N96+1</f>
        <v>2037</v>
      </c>
      <c r="P96">
        <f t="shared" ref="P96:AV96" si="15">O96+1</f>
        <v>2038</v>
      </c>
      <c r="Q96">
        <f t="shared" si="15"/>
        <v>2039</v>
      </c>
      <c r="R96">
        <f t="shared" si="15"/>
        <v>2040</v>
      </c>
      <c r="S96">
        <f t="shared" si="15"/>
        <v>2041</v>
      </c>
      <c r="T96">
        <f t="shared" si="15"/>
        <v>2042</v>
      </c>
      <c r="U96">
        <f t="shared" si="15"/>
        <v>2043</v>
      </c>
      <c r="V96">
        <f t="shared" si="15"/>
        <v>2044</v>
      </c>
      <c r="W96">
        <f t="shared" si="15"/>
        <v>2045</v>
      </c>
      <c r="X96">
        <f t="shared" si="15"/>
        <v>2046</v>
      </c>
      <c r="Y96">
        <f t="shared" si="15"/>
        <v>2047</v>
      </c>
      <c r="Z96">
        <f t="shared" si="15"/>
        <v>2048</v>
      </c>
      <c r="AA96">
        <f t="shared" si="15"/>
        <v>2049</v>
      </c>
      <c r="AB96">
        <f t="shared" si="15"/>
        <v>2050</v>
      </c>
      <c r="AC96">
        <f t="shared" si="15"/>
        <v>2051</v>
      </c>
      <c r="AD96">
        <f t="shared" si="15"/>
        <v>2052</v>
      </c>
      <c r="AE96">
        <f t="shared" si="15"/>
        <v>2053</v>
      </c>
      <c r="AF96">
        <f t="shared" si="15"/>
        <v>2054</v>
      </c>
      <c r="AG96">
        <f t="shared" si="15"/>
        <v>2055</v>
      </c>
      <c r="AH96">
        <f t="shared" si="15"/>
        <v>2056</v>
      </c>
      <c r="AI96">
        <f t="shared" si="15"/>
        <v>2057</v>
      </c>
      <c r="AJ96">
        <f t="shared" si="15"/>
        <v>2058</v>
      </c>
      <c r="AK96">
        <f t="shared" si="15"/>
        <v>2059</v>
      </c>
      <c r="AL96">
        <f t="shared" si="15"/>
        <v>2060</v>
      </c>
      <c r="AM96">
        <f t="shared" si="15"/>
        <v>2061</v>
      </c>
      <c r="AN96">
        <f t="shared" si="15"/>
        <v>2062</v>
      </c>
      <c r="AO96">
        <f t="shared" si="15"/>
        <v>2063</v>
      </c>
      <c r="AP96">
        <f t="shared" si="15"/>
        <v>2064</v>
      </c>
      <c r="AQ96">
        <f t="shared" si="15"/>
        <v>2065</v>
      </c>
      <c r="AR96">
        <f t="shared" si="15"/>
        <v>2066</v>
      </c>
      <c r="AS96">
        <f t="shared" si="15"/>
        <v>2067</v>
      </c>
      <c r="AT96">
        <f t="shared" si="15"/>
        <v>2068</v>
      </c>
      <c r="AU96">
        <f t="shared" si="15"/>
        <v>2069</v>
      </c>
      <c r="AV96">
        <f t="shared" si="15"/>
        <v>2070</v>
      </c>
    </row>
    <row r="97" spans="1:48" x14ac:dyDescent="0.35">
      <c r="A97" t="s">
        <v>293</v>
      </c>
      <c r="B97">
        <v>91</v>
      </c>
      <c r="C97">
        <f>(1+C98)*B97</f>
        <v>97.37</v>
      </c>
      <c r="D97">
        <f t="shared" ref="D97:AV97" si="16">(1+D98)*C97</f>
        <v>104.18590000000002</v>
      </c>
      <c r="E97">
        <f t="shared" si="16"/>
        <v>111.47891300000002</v>
      </c>
      <c r="F97">
        <f t="shared" si="16"/>
        <v>119.28243691000003</v>
      </c>
      <c r="G97">
        <f t="shared" si="16"/>
        <v>122.26449783275002</v>
      </c>
      <c r="H97">
        <f t="shared" si="16"/>
        <v>125.32111027856877</v>
      </c>
      <c r="I97">
        <f t="shared" si="16"/>
        <v>128.45413803553296</v>
      </c>
      <c r="J97">
        <f t="shared" si="16"/>
        <v>131.66549148642127</v>
      </c>
      <c r="K97">
        <f t="shared" si="16"/>
        <v>134.95712877358179</v>
      </c>
      <c r="L97">
        <f t="shared" si="16"/>
        <v>138.33105699292133</v>
      </c>
      <c r="M97">
        <f t="shared" si="16"/>
        <v>141.78933341774436</v>
      </c>
      <c r="N97">
        <f t="shared" si="16"/>
        <v>145.33406675318795</v>
      </c>
      <c r="O97">
        <f t="shared" si="16"/>
        <v>148.96741842201763</v>
      </c>
      <c r="P97">
        <f t="shared" si="16"/>
        <v>152.69160388256805</v>
      </c>
      <c r="Q97">
        <f t="shared" si="16"/>
        <v>156.50889397963223</v>
      </c>
      <c r="R97">
        <f t="shared" si="16"/>
        <v>160.42161632912303</v>
      </c>
      <c r="S97">
        <f t="shared" si="16"/>
        <v>164.43215673735108</v>
      </c>
      <c r="T97">
        <f t="shared" si="16"/>
        <v>168.54296065578484</v>
      </c>
      <c r="U97">
        <f t="shared" si="16"/>
        <v>172.75653467217944</v>
      </c>
      <c r="V97">
        <f t="shared" si="16"/>
        <v>177.07544803898392</v>
      </c>
      <c r="W97">
        <f t="shared" si="16"/>
        <v>181.50233423995851</v>
      </c>
      <c r="X97">
        <f t="shared" si="16"/>
        <v>186.03989259595747</v>
      </c>
      <c r="Y97">
        <f t="shared" si="16"/>
        <v>190.69088991085638</v>
      </c>
      <c r="Z97">
        <f t="shared" si="16"/>
        <v>195.45816215862777</v>
      </c>
      <c r="AA97">
        <f t="shared" si="16"/>
        <v>200.34461621259345</v>
      </c>
      <c r="AB97">
        <f t="shared" si="16"/>
        <v>205.35323161790828</v>
      </c>
      <c r="AC97">
        <f t="shared" si="16"/>
        <v>210.48706240835597</v>
      </c>
      <c r="AD97">
        <f t="shared" si="16"/>
        <v>215.74923896856484</v>
      </c>
      <c r="AE97">
        <f t="shared" si="16"/>
        <v>221.14296994277893</v>
      </c>
      <c r="AF97">
        <f t="shared" si="16"/>
        <v>226.67154419134837</v>
      </c>
      <c r="AG97">
        <f t="shared" si="16"/>
        <v>232.33833279613205</v>
      </c>
      <c r="AH97">
        <f t="shared" si="16"/>
        <v>238.14679111603533</v>
      </c>
      <c r="AI97">
        <f t="shared" si="16"/>
        <v>244.1004608939362</v>
      </c>
      <c r="AJ97">
        <f t="shared" si="16"/>
        <v>250.20297241628458</v>
      </c>
      <c r="AK97">
        <f t="shared" si="16"/>
        <v>256.45804672669169</v>
      </c>
      <c r="AL97">
        <f t="shared" si="16"/>
        <v>262.86949789485897</v>
      </c>
      <c r="AM97">
        <f t="shared" si="16"/>
        <v>269.44123534223041</v>
      </c>
      <c r="AN97">
        <f t="shared" si="16"/>
        <v>276.17726622578613</v>
      </c>
      <c r="AO97">
        <f t="shared" si="16"/>
        <v>283.08169788143073</v>
      </c>
      <c r="AP97">
        <f t="shared" si="16"/>
        <v>290.15874032846648</v>
      </c>
      <c r="AQ97">
        <f t="shared" si="16"/>
        <v>297.41270883667812</v>
      </c>
      <c r="AR97">
        <f t="shared" si="16"/>
        <v>304.84802655759506</v>
      </c>
      <c r="AS97">
        <f t="shared" si="16"/>
        <v>312.46922722153494</v>
      </c>
      <c r="AT97">
        <f t="shared" si="16"/>
        <v>320.28095790207328</v>
      </c>
      <c r="AU97">
        <f t="shared" si="16"/>
        <v>328.28798184962511</v>
      </c>
      <c r="AV97">
        <f t="shared" si="16"/>
        <v>336.4951813958657</v>
      </c>
    </row>
    <row r="98" spans="1:48" x14ac:dyDescent="0.35">
      <c r="A98" t="s">
        <v>288</v>
      </c>
      <c r="C98">
        <v>7.0000000000000007E-2</v>
      </c>
      <c r="D98">
        <v>7.0000000000000007E-2</v>
      </c>
      <c r="E98">
        <v>7.0000000000000007E-2</v>
      </c>
      <c r="F98">
        <v>7.0000000000000007E-2</v>
      </c>
      <c r="G98">
        <v>2.5000000000000001E-2</v>
      </c>
      <c r="H98">
        <v>2.5000000000000001E-2</v>
      </c>
      <c r="I98">
        <v>2.5000000000000001E-2</v>
      </c>
      <c r="J98">
        <v>2.5000000000000001E-2</v>
      </c>
      <c r="K98">
        <v>2.5000000000000001E-2</v>
      </c>
      <c r="L98">
        <v>2.5000000000000001E-2</v>
      </c>
      <c r="M98">
        <v>2.5000000000000001E-2</v>
      </c>
      <c r="N98">
        <v>2.5000000000000001E-2</v>
      </c>
      <c r="O98">
        <v>2.5000000000000001E-2</v>
      </c>
      <c r="P98">
        <v>2.5000000000000001E-2</v>
      </c>
      <c r="Q98">
        <v>2.5000000000000001E-2</v>
      </c>
      <c r="R98">
        <v>2.5000000000000001E-2</v>
      </c>
      <c r="S98">
        <v>2.5000000000000001E-2</v>
      </c>
      <c r="T98">
        <v>2.5000000000000001E-2</v>
      </c>
      <c r="U98">
        <v>2.5000000000000001E-2</v>
      </c>
      <c r="V98">
        <v>2.5000000000000001E-2</v>
      </c>
      <c r="W98">
        <v>2.5000000000000001E-2</v>
      </c>
      <c r="X98">
        <v>2.5000000000000001E-2</v>
      </c>
      <c r="Y98">
        <v>2.5000000000000001E-2</v>
      </c>
      <c r="Z98">
        <v>2.5000000000000001E-2</v>
      </c>
      <c r="AA98">
        <v>2.5000000000000001E-2</v>
      </c>
      <c r="AB98">
        <v>2.5000000000000001E-2</v>
      </c>
      <c r="AC98">
        <v>2.5000000000000001E-2</v>
      </c>
      <c r="AD98">
        <v>2.5000000000000001E-2</v>
      </c>
      <c r="AE98">
        <v>2.5000000000000001E-2</v>
      </c>
      <c r="AF98">
        <v>2.5000000000000001E-2</v>
      </c>
      <c r="AG98">
        <v>2.5000000000000001E-2</v>
      </c>
      <c r="AH98">
        <v>2.5000000000000001E-2</v>
      </c>
      <c r="AI98">
        <v>2.5000000000000001E-2</v>
      </c>
      <c r="AJ98">
        <v>2.5000000000000001E-2</v>
      </c>
      <c r="AK98">
        <v>2.5000000000000001E-2</v>
      </c>
      <c r="AL98">
        <v>2.5000000000000001E-2</v>
      </c>
      <c r="AM98">
        <v>2.5000000000000001E-2</v>
      </c>
      <c r="AN98">
        <v>2.5000000000000001E-2</v>
      </c>
      <c r="AO98">
        <v>2.5000000000000001E-2</v>
      </c>
      <c r="AP98">
        <v>2.5000000000000001E-2</v>
      </c>
      <c r="AQ98">
        <v>2.5000000000000001E-2</v>
      </c>
      <c r="AR98">
        <v>2.5000000000000001E-2</v>
      </c>
      <c r="AS98">
        <v>2.5000000000000001E-2</v>
      </c>
      <c r="AT98">
        <v>2.5000000000000001E-2</v>
      </c>
      <c r="AU98">
        <v>2.5000000000000001E-2</v>
      </c>
      <c r="AV98">
        <v>2.5000000000000001E-2</v>
      </c>
    </row>
    <row r="99" spans="1:48" x14ac:dyDescent="0.35">
      <c r="A99" t="s">
        <v>289</v>
      </c>
      <c r="B99">
        <v>0.8</v>
      </c>
      <c r="C99">
        <v>0.8</v>
      </c>
      <c r="D99">
        <v>0.8</v>
      </c>
      <c r="E99">
        <v>0.8</v>
      </c>
      <c r="F99">
        <v>0.8</v>
      </c>
      <c r="G99">
        <v>0.8</v>
      </c>
      <c r="H99">
        <v>0.8</v>
      </c>
      <c r="I99">
        <v>0.8</v>
      </c>
      <c r="J99">
        <v>0.8</v>
      </c>
      <c r="K99">
        <v>0.8</v>
      </c>
      <c r="L99">
        <v>0.8</v>
      </c>
      <c r="M99">
        <v>0.8</v>
      </c>
      <c r="N99">
        <v>0.8</v>
      </c>
      <c r="O99">
        <v>0.8</v>
      </c>
      <c r="P99">
        <v>0.8</v>
      </c>
      <c r="Q99">
        <v>0.8</v>
      </c>
      <c r="R99">
        <v>0.8</v>
      </c>
      <c r="S99">
        <v>0.8</v>
      </c>
      <c r="T99">
        <v>0.8</v>
      </c>
      <c r="U99">
        <v>0.8</v>
      </c>
      <c r="V99">
        <v>0.8</v>
      </c>
      <c r="W99">
        <v>0.8</v>
      </c>
      <c r="X99">
        <v>0.8</v>
      </c>
      <c r="Y99">
        <v>0.8</v>
      </c>
      <c r="Z99">
        <v>0.8</v>
      </c>
      <c r="AA99">
        <v>0.8</v>
      </c>
      <c r="AB99">
        <v>0.8</v>
      </c>
      <c r="AC99">
        <v>0.8</v>
      </c>
      <c r="AD99">
        <v>0.8</v>
      </c>
      <c r="AE99">
        <v>0.8</v>
      </c>
      <c r="AF99">
        <v>0.8</v>
      </c>
      <c r="AG99">
        <v>0.8</v>
      </c>
      <c r="AH99">
        <v>0.8</v>
      </c>
      <c r="AI99">
        <v>0.8</v>
      </c>
      <c r="AJ99">
        <v>0.8</v>
      </c>
      <c r="AK99">
        <v>0.8</v>
      </c>
      <c r="AL99">
        <v>0.8</v>
      </c>
      <c r="AM99">
        <v>0.8</v>
      </c>
      <c r="AN99">
        <v>0.8</v>
      </c>
      <c r="AO99">
        <v>0.8</v>
      </c>
      <c r="AP99">
        <v>0.8</v>
      </c>
      <c r="AQ99">
        <v>0.8</v>
      </c>
      <c r="AR99">
        <v>0.8</v>
      </c>
      <c r="AS99">
        <v>0.8</v>
      </c>
      <c r="AT99">
        <v>0.8</v>
      </c>
      <c r="AU99">
        <v>0.8</v>
      </c>
      <c r="AV99">
        <v>0.8</v>
      </c>
    </row>
    <row r="100" spans="1:48" x14ac:dyDescent="0.35">
      <c r="A100" t="s">
        <v>54</v>
      </c>
      <c r="B100">
        <f>B99*B97</f>
        <v>72.8</v>
      </c>
      <c r="C100">
        <f t="shared" ref="C100:AV100" si="17">C99*C97</f>
        <v>77.896000000000015</v>
      </c>
      <c r="D100">
        <f t="shared" si="17"/>
        <v>83.348720000000014</v>
      </c>
      <c r="E100">
        <f t="shared" si="17"/>
        <v>89.183130400000024</v>
      </c>
      <c r="F100">
        <f t="shared" si="17"/>
        <v>95.425949528000032</v>
      </c>
      <c r="G100">
        <f t="shared" si="17"/>
        <v>97.811598266200022</v>
      </c>
      <c r="H100">
        <f t="shared" si="17"/>
        <v>100.25688822285503</v>
      </c>
      <c r="I100">
        <f t="shared" si="17"/>
        <v>102.76331042842638</v>
      </c>
      <c r="J100">
        <f t="shared" si="17"/>
        <v>105.33239318913702</v>
      </c>
      <c r="K100">
        <f t="shared" si="17"/>
        <v>107.96570301886544</v>
      </c>
      <c r="L100">
        <f t="shared" si="17"/>
        <v>110.66484559433707</v>
      </c>
      <c r="M100">
        <f t="shared" si="17"/>
        <v>113.4314667341955</v>
      </c>
      <c r="N100">
        <f t="shared" si="17"/>
        <v>116.26725340255037</v>
      </c>
      <c r="O100">
        <f t="shared" si="17"/>
        <v>119.1739347376141</v>
      </c>
      <c r="P100">
        <f t="shared" si="17"/>
        <v>122.15328310605445</v>
      </c>
      <c r="Q100">
        <f t="shared" si="17"/>
        <v>125.2071151837058</v>
      </c>
      <c r="R100">
        <f t="shared" si="17"/>
        <v>128.33729306329843</v>
      </c>
      <c r="S100">
        <f t="shared" si="17"/>
        <v>131.54572538988086</v>
      </c>
      <c r="T100">
        <f t="shared" si="17"/>
        <v>134.83436852462788</v>
      </c>
      <c r="U100">
        <f t="shared" si="17"/>
        <v>138.20522773774357</v>
      </c>
      <c r="V100">
        <f t="shared" si="17"/>
        <v>141.66035843118715</v>
      </c>
      <c r="W100">
        <f t="shared" si="17"/>
        <v>145.20186739196683</v>
      </c>
      <c r="X100">
        <f t="shared" si="17"/>
        <v>148.83191407676597</v>
      </c>
      <c r="Y100">
        <f t="shared" si="17"/>
        <v>152.55271192868511</v>
      </c>
      <c r="Z100">
        <f t="shared" si="17"/>
        <v>156.36652972690223</v>
      </c>
      <c r="AA100">
        <f t="shared" si="17"/>
        <v>160.27569297007477</v>
      </c>
      <c r="AB100">
        <f t="shared" si="17"/>
        <v>164.28258529432662</v>
      </c>
      <c r="AC100">
        <f t="shared" si="17"/>
        <v>168.3896499266848</v>
      </c>
      <c r="AD100">
        <f t="shared" si="17"/>
        <v>172.59939117485189</v>
      </c>
      <c r="AE100">
        <f t="shared" si="17"/>
        <v>176.91437595422315</v>
      </c>
      <c r="AF100">
        <f t="shared" si="17"/>
        <v>181.33723535307871</v>
      </c>
      <c r="AG100">
        <f t="shared" si="17"/>
        <v>185.87066623690566</v>
      </c>
      <c r="AH100">
        <f t="shared" si="17"/>
        <v>190.51743289282828</v>
      </c>
      <c r="AI100">
        <f t="shared" si="17"/>
        <v>195.28036871514897</v>
      </c>
      <c r="AJ100">
        <f t="shared" si="17"/>
        <v>200.16237793302767</v>
      </c>
      <c r="AK100">
        <f t="shared" si="17"/>
        <v>205.16643738135338</v>
      </c>
      <c r="AL100">
        <f t="shared" si="17"/>
        <v>210.29559831588719</v>
      </c>
      <c r="AM100">
        <f t="shared" si="17"/>
        <v>215.55298827378434</v>
      </c>
      <c r="AN100">
        <f t="shared" si="17"/>
        <v>220.94181298062892</v>
      </c>
      <c r="AO100">
        <f t="shared" si="17"/>
        <v>226.4653583051446</v>
      </c>
      <c r="AP100">
        <f t="shared" si="17"/>
        <v>232.1269922627732</v>
      </c>
      <c r="AQ100">
        <f t="shared" si="17"/>
        <v>237.9301670693425</v>
      </c>
      <c r="AR100">
        <f t="shared" si="17"/>
        <v>243.87842124607607</v>
      </c>
      <c r="AS100">
        <f t="shared" si="17"/>
        <v>249.97538177722797</v>
      </c>
      <c r="AT100">
        <f t="shared" si="17"/>
        <v>256.22476632165865</v>
      </c>
      <c r="AU100">
        <f t="shared" si="17"/>
        <v>262.63038547970012</v>
      </c>
      <c r="AV100">
        <f t="shared" si="17"/>
        <v>269.19614511669255</v>
      </c>
    </row>
    <row r="101" spans="1:48" x14ac:dyDescent="0.35">
      <c r="A101" t="s">
        <v>294</v>
      </c>
      <c r="B101">
        <v>0.06</v>
      </c>
      <c r="C101">
        <v>0.06</v>
      </c>
      <c r="D101">
        <v>0.06</v>
      </c>
      <c r="E101">
        <v>0.06</v>
      </c>
      <c r="F101">
        <v>0.06</v>
      </c>
      <c r="G101">
        <v>0.06</v>
      </c>
      <c r="H101">
        <v>0.06</v>
      </c>
      <c r="I101">
        <v>0.06</v>
      </c>
      <c r="J101">
        <v>0.06</v>
      </c>
      <c r="K101">
        <v>0.06</v>
      </c>
      <c r="L101">
        <v>0.06</v>
      </c>
      <c r="M101">
        <v>0.06</v>
      </c>
      <c r="N101">
        <v>0.06</v>
      </c>
      <c r="O101">
        <v>0.06</v>
      </c>
      <c r="P101">
        <v>0.06</v>
      </c>
      <c r="Q101">
        <v>0.06</v>
      </c>
      <c r="R101">
        <v>0.06</v>
      </c>
      <c r="S101">
        <v>0.06</v>
      </c>
      <c r="T101">
        <v>0.06</v>
      </c>
      <c r="U101">
        <v>0.06</v>
      </c>
      <c r="V101">
        <v>0.06</v>
      </c>
      <c r="W101">
        <v>0.06</v>
      </c>
      <c r="X101">
        <v>0.06</v>
      </c>
      <c r="Y101">
        <v>0.06</v>
      </c>
      <c r="Z101">
        <v>0.06</v>
      </c>
      <c r="AA101">
        <v>0.06</v>
      </c>
      <c r="AB101">
        <v>0.06</v>
      </c>
      <c r="AC101">
        <v>0.06</v>
      </c>
      <c r="AD101">
        <v>0.06</v>
      </c>
      <c r="AE101">
        <v>0.06</v>
      </c>
      <c r="AF101">
        <v>0.06</v>
      </c>
      <c r="AG101">
        <v>0.06</v>
      </c>
      <c r="AH101">
        <v>0.06</v>
      </c>
      <c r="AI101">
        <v>0.06</v>
      </c>
      <c r="AJ101">
        <v>0.06</v>
      </c>
      <c r="AK101">
        <v>0.06</v>
      </c>
      <c r="AL101">
        <v>0.06</v>
      </c>
      <c r="AM101">
        <v>0.06</v>
      </c>
      <c r="AN101">
        <v>0.06</v>
      </c>
      <c r="AO101">
        <v>0.06</v>
      </c>
      <c r="AP101">
        <v>0.06</v>
      </c>
      <c r="AQ101">
        <v>0.06</v>
      </c>
      <c r="AR101">
        <v>0.06</v>
      </c>
      <c r="AS101">
        <v>0.06</v>
      </c>
      <c r="AT101">
        <v>0.06</v>
      </c>
      <c r="AU101">
        <v>0.06</v>
      </c>
      <c r="AV101">
        <v>0.06</v>
      </c>
    </row>
    <row r="102" spans="1:48" x14ac:dyDescent="0.35">
      <c r="A102" t="s">
        <v>181</v>
      </c>
      <c r="B102">
        <f>-B101*B97</f>
        <v>-5.46</v>
      </c>
      <c r="C102">
        <f t="shared" ref="C102:AV102" si="18">-C101*C97</f>
        <v>-5.8422000000000001</v>
      </c>
      <c r="D102">
        <f t="shared" si="18"/>
        <v>-6.2511540000000005</v>
      </c>
      <c r="E102">
        <f t="shared" si="18"/>
        <v>-6.6887347800000008</v>
      </c>
      <c r="F102">
        <f t="shared" si="18"/>
        <v>-7.1569462146000014</v>
      </c>
      <c r="G102">
        <f t="shared" si="18"/>
        <v>-7.3358698699650011</v>
      </c>
      <c r="H102">
        <f t="shared" si="18"/>
        <v>-7.519266616714126</v>
      </c>
      <c r="I102">
        <f t="shared" si="18"/>
        <v>-7.7072482821319772</v>
      </c>
      <c r="J102">
        <f t="shared" si="18"/>
        <v>-7.8999294891852765</v>
      </c>
      <c r="K102">
        <f t="shared" si="18"/>
        <v>-8.0974277264149066</v>
      </c>
      <c r="L102">
        <f t="shared" si="18"/>
        <v>-8.2998634195752796</v>
      </c>
      <c r="M102">
        <f t="shared" si="18"/>
        <v>-8.5073600050646618</v>
      </c>
      <c r="N102">
        <f t="shared" si="18"/>
        <v>-8.7200440051912764</v>
      </c>
      <c r="O102">
        <f t="shared" si="18"/>
        <v>-8.9380451053210574</v>
      </c>
      <c r="P102">
        <f t="shared" si="18"/>
        <v>-9.1614962329540823</v>
      </c>
      <c r="Q102">
        <f t="shared" si="18"/>
        <v>-9.3905336387779332</v>
      </c>
      <c r="R102">
        <f t="shared" si="18"/>
        <v>-9.6252969797473806</v>
      </c>
      <c r="S102">
        <f t="shared" si="18"/>
        <v>-9.865929404241065</v>
      </c>
      <c r="T102">
        <f t="shared" si="18"/>
        <v>-10.112577639347091</v>
      </c>
      <c r="U102">
        <f t="shared" si="18"/>
        <v>-10.365392080330766</v>
      </c>
      <c r="V102">
        <f t="shared" si="18"/>
        <v>-10.624526882339035</v>
      </c>
      <c r="W102">
        <f t="shared" si="18"/>
        <v>-10.890140054397511</v>
      </c>
      <c r="X102">
        <f t="shared" si="18"/>
        <v>-11.162393555757447</v>
      </c>
      <c r="Y102">
        <f t="shared" si="18"/>
        <v>-11.441453394651383</v>
      </c>
      <c r="Z102">
        <f t="shared" si="18"/>
        <v>-11.727489729517666</v>
      </c>
      <c r="AA102">
        <f t="shared" si="18"/>
        <v>-12.020676972755606</v>
      </c>
      <c r="AB102">
        <f t="shared" si="18"/>
        <v>-12.321193897074496</v>
      </c>
      <c r="AC102">
        <f t="shared" si="18"/>
        <v>-12.629223744501358</v>
      </c>
      <c r="AD102">
        <f t="shared" si="18"/>
        <v>-12.94495433811389</v>
      </c>
      <c r="AE102">
        <f t="shared" si="18"/>
        <v>-13.268578196566736</v>
      </c>
      <c r="AF102">
        <f t="shared" si="18"/>
        <v>-13.600292651480903</v>
      </c>
      <c r="AG102">
        <f t="shared" si="18"/>
        <v>-13.940299967767922</v>
      </c>
      <c r="AH102">
        <f t="shared" si="18"/>
        <v>-14.288807466962119</v>
      </c>
      <c r="AI102">
        <f t="shared" si="18"/>
        <v>-14.646027653636171</v>
      </c>
      <c r="AJ102">
        <f t="shared" si="18"/>
        <v>-15.012178344977075</v>
      </c>
      <c r="AK102">
        <f t="shared" si="18"/>
        <v>-15.3874828036015</v>
      </c>
      <c r="AL102">
        <f t="shared" si="18"/>
        <v>-15.772169873691537</v>
      </c>
      <c r="AM102">
        <f t="shared" si="18"/>
        <v>-16.166474120533824</v>
      </c>
      <c r="AN102">
        <f t="shared" si="18"/>
        <v>-16.570635973547166</v>
      </c>
      <c r="AO102">
        <f t="shared" si="18"/>
        <v>-16.984901872885843</v>
      </c>
      <c r="AP102">
        <f t="shared" si="18"/>
        <v>-17.409524419707989</v>
      </c>
      <c r="AQ102">
        <f t="shared" si="18"/>
        <v>-17.844762530200686</v>
      </c>
      <c r="AR102">
        <f t="shared" si="18"/>
        <v>-18.290881593455705</v>
      </c>
      <c r="AS102">
        <f t="shared" si="18"/>
        <v>-18.748153633292095</v>
      </c>
      <c r="AT102">
        <f t="shared" si="18"/>
        <v>-19.216857474124396</v>
      </c>
      <c r="AU102">
        <f t="shared" si="18"/>
        <v>-19.697278910977506</v>
      </c>
      <c r="AV102">
        <f t="shared" si="18"/>
        <v>-20.189710883751943</v>
      </c>
    </row>
    <row r="103" spans="1:48" x14ac:dyDescent="0.35">
      <c r="A103" t="s">
        <v>278</v>
      </c>
      <c r="B103">
        <f>-SUM(B100)*$Q$93</f>
        <v>-24.752000000000002</v>
      </c>
      <c r="C103">
        <f t="shared" ref="C103:AV103" si="19">-SUM(C100)*$Q$93</f>
        <v>-26.484640000000006</v>
      </c>
      <c r="D103">
        <f t="shared" si="19"/>
        <v>-28.338564800000007</v>
      </c>
      <c r="E103">
        <f t="shared" si="19"/>
        <v>-30.322264336000011</v>
      </c>
      <c r="F103">
        <f t="shared" si="19"/>
        <v>-32.444822839520015</v>
      </c>
      <c r="G103">
        <f t="shared" si="19"/>
        <v>-33.25594341050801</v>
      </c>
      <c r="H103">
        <f t="shared" si="19"/>
        <v>-34.087341995770714</v>
      </c>
      <c r="I103">
        <f t="shared" si="19"/>
        <v>-34.939525545664971</v>
      </c>
      <c r="J103">
        <f t="shared" si="19"/>
        <v>-35.81301368430659</v>
      </c>
      <c r="K103">
        <f t="shared" si="19"/>
        <v>-36.708339026414251</v>
      </c>
      <c r="L103">
        <f t="shared" si="19"/>
        <v>-37.626047502074606</v>
      </c>
      <c r="M103">
        <f t="shared" si="19"/>
        <v>-38.56669868962647</v>
      </c>
      <c r="N103">
        <f t="shared" si="19"/>
        <v>-39.530866156867127</v>
      </c>
      <c r="O103">
        <f t="shared" si="19"/>
        <v>-40.519137810788799</v>
      </c>
      <c r="P103">
        <f t="shared" si="19"/>
        <v>-41.532116256058515</v>
      </c>
      <c r="Q103">
        <f t="shared" si="19"/>
        <v>-42.57041916245997</v>
      </c>
      <c r="R103">
        <f t="shared" si="19"/>
        <v>-43.634679641521473</v>
      </c>
      <c r="S103">
        <f t="shared" si="19"/>
        <v>-44.725546632559492</v>
      </c>
      <c r="T103">
        <f t="shared" si="19"/>
        <v>-45.843685298373479</v>
      </c>
      <c r="U103">
        <f t="shared" si="19"/>
        <v>-46.989777430832817</v>
      </c>
      <c r="V103">
        <f t="shared" si="19"/>
        <v>-48.164521866603636</v>
      </c>
      <c r="W103">
        <f t="shared" si="19"/>
        <v>-49.368634913268728</v>
      </c>
      <c r="X103">
        <f t="shared" si="19"/>
        <v>-50.602850786100433</v>
      </c>
      <c r="Y103">
        <f t="shared" si="19"/>
        <v>-51.867922055752942</v>
      </c>
      <c r="Z103">
        <f t="shared" si="19"/>
        <v>-53.16462010714676</v>
      </c>
      <c r="AA103">
        <f t="shared" si="19"/>
        <v>-54.493735609825428</v>
      </c>
      <c r="AB103">
        <f t="shared" si="19"/>
        <v>-55.856079000071055</v>
      </c>
      <c r="AC103">
        <f t="shared" si="19"/>
        <v>-57.252480975072835</v>
      </c>
      <c r="AD103">
        <f t="shared" si="19"/>
        <v>-58.683792999449643</v>
      </c>
      <c r="AE103">
        <f t="shared" si="19"/>
        <v>-60.150887824435877</v>
      </c>
      <c r="AF103">
        <f t="shared" si="19"/>
        <v>-61.654660020046769</v>
      </c>
      <c r="AG103">
        <f t="shared" si="19"/>
        <v>-63.196026520547932</v>
      </c>
      <c r="AH103">
        <f t="shared" si="19"/>
        <v>-64.77592718356162</v>
      </c>
      <c r="AI103">
        <f t="shared" si="19"/>
        <v>-66.395325363150647</v>
      </c>
      <c r="AJ103">
        <f t="shared" si="19"/>
        <v>-68.055208497229415</v>
      </c>
      <c r="AK103">
        <f t="shared" si="19"/>
        <v>-69.75658870966015</v>
      </c>
      <c r="AL103">
        <f t="shared" si="19"/>
        <v>-71.500503427401654</v>
      </c>
      <c r="AM103">
        <f t="shared" si="19"/>
        <v>-73.288016013086676</v>
      </c>
      <c r="AN103">
        <f t="shared" si="19"/>
        <v>-75.120216413413843</v>
      </c>
      <c r="AO103">
        <f t="shared" si="19"/>
        <v>-76.998221823749176</v>
      </c>
      <c r="AP103">
        <f t="shared" si="19"/>
        <v>-78.923177369342895</v>
      </c>
      <c r="AQ103">
        <f t="shared" si="19"/>
        <v>-80.896256803576463</v>
      </c>
      <c r="AR103">
        <f t="shared" si="19"/>
        <v>-82.918663223665874</v>
      </c>
      <c r="AS103">
        <f t="shared" si="19"/>
        <v>-84.991629804257514</v>
      </c>
      <c r="AT103">
        <f t="shared" si="19"/>
        <v>-87.116420549363951</v>
      </c>
      <c r="AU103">
        <f t="shared" si="19"/>
        <v>-89.294331063098042</v>
      </c>
      <c r="AV103">
        <f t="shared" si="19"/>
        <v>-91.526689339675471</v>
      </c>
    </row>
    <row r="104" spans="1:48" x14ac:dyDescent="0.35">
      <c r="A104" t="s">
        <v>279</v>
      </c>
      <c r="B104">
        <f>SUM(B103,B102,B100)</f>
        <v>42.587999999999994</v>
      </c>
      <c r="C104">
        <f t="shared" ref="C104:AV104" si="20">SUM(C103,C102,C100)</f>
        <v>45.569160000000011</v>
      </c>
      <c r="D104">
        <f t="shared" si="20"/>
        <v>48.759001200000007</v>
      </c>
      <c r="E104">
        <f t="shared" si="20"/>
        <v>52.172131284000017</v>
      </c>
      <c r="F104">
        <f t="shared" si="20"/>
        <v>55.82418047388002</v>
      </c>
      <c r="G104">
        <f t="shared" si="20"/>
        <v>57.21978498572701</v>
      </c>
      <c r="H104">
        <f t="shared" si="20"/>
        <v>58.650279610370184</v>
      </c>
      <c r="I104">
        <f t="shared" si="20"/>
        <v>60.116536600629431</v>
      </c>
      <c r="J104">
        <f t="shared" si="20"/>
        <v>61.619450015645157</v>
      </c>
      <c r="K104">
        <f t="shared" si="20"/>
        <v>63.159936266036283</v>
      </c>
      <c r="L104">
        <f t="shared" si="20"/>
        <v>64.738934672687179</v>
      </c>
      <c r="M104">
        <f t="shared" si="20"/>
        <v>66.357408039504364</v>
      </c>
      <c r="N104">
        <f t="shared" si="20"/>
        <v>68.016343240491963</v>
      </c>
      <c r="O104">
        <f t="shared" si="20"/>
        <v>69.716751821504246</v>
      </c>
      <c r="P104">
        <f t="shared" si="20"/>
        <v>71.459670617041851</v>
      </c>
      <c r="Q104">
        <f t="shared" si="20"/>
        <v>73.246162382467901</v>
      </c>
      <c r="R104">
        <f t="shared" si="20"/>
        <v>75.07731644202957</v>
      </c>
      <c r="S104">
        <f t="shared" si="20"/>
        <v>76.9542493530803</v>
      </c>
      <c r="T104">
        <f t="shared" si="20"/>
        <v>78.87810558690731</v>
      </c>
      <c r="U104">
        <f t="shared" si="20"/>
        <v>80.850058226579989</v>
      </c>
      <c r="V104">
        <f t="shared" si="20"/>
        <v>82.871309682244487</v>
      </c>
      <c r="W104">
        <f t="shared" si="20"/>
        <v>84.943092424300588</v>
      </c>
      <c r="X104">
        <f t="shared" si="20"/>
        <v>87.066669734908089</v>
      </c>
      <c r="Y104">
        <f t="shared" si="20"/>
        <v>89.243336478280781</v>
      </c>
      <c r="Z104">
        <f t="shared" si="20"/>
        <v>91.474419890237797</v>
      </c>
      <c r="AA104">
        <f t="shared" si="20"/>
        <v>93.761280387493741</v>
      </c>
      <c r="AB104">
        <f t="shared" si="20"/>
        <v>96.105312397181066</v>
      </c>
      <c r="AC104">
        <f t="shared" si="20"/>
        <v>98.507945207110609</v>
      </c>
      <c r="AD104">
        <f t="shared" si="20"/>
        <v>100.97064383728835</v>
      </c>
      <c r="AE104">
        <f t="shared" si="20"/>
        <v>103.49490993322053</v>
      </c>
      <c r="AF104">
        <f t="shared" si="20"/>
        <v>106.08228268155104</v>
      </c>
      <c r="AG104">
        <f t="shared" si="20"/>
        <v>108.7343397485898</v>
      </c>
      <c r="AH104">
        <f t="shared" si="20"/>
        <v>111.45269824230454</v>
      </c>
      <c r="AI104">
        <f t="shared" si="20"/>
        <v>114.23901569836215</v>
      </c>
      <c r="AJ104">
        <f t="shared" si="20"/>
        <v>117.09499109082118</v>
      </c>
      <c r="AK104">
        <f t="shared" si="20"/>
        <v>120.02236586809173</v>
      </c>
      <c r="AL104">
        <f t="shared" si="20"/>
        <v>123.022925014794</v>
      </c>
      <c r="AM104">
        <f t="shared" si="20"/>
        <v>126.09849814016384</v>
      </c>
      <c r="AN104">
        <f t="shared" si="20"/>
        <v>129.25096059366791</v>
      </c>
      <c r="AO104">
        <f t="shared" si="20"/>
        <v>132.4822346085096</v>
      </c>
      <c r="AP104">
        <f t="shared" si="20"/>
        <v>135.7942904737223</v>
      </c>
      <c r="AQ104">
        <f t="shared" si="20"/>
        <v>139.18914773556537</v>
      </c>
      <c r="AR104">
        <f t="shared" si="20"/>
        <v>142.66887642895449</v>
      </c>
      <c r="AS104">
        <f t="shared" si="20"/>
        <v>146.23559833967835</v>
      </c>
      <c r="AT104">
        <f t="shared" si="20"/>
        <v>149.89148829817032</v>
      </c>
      <c r="AU104">
        <f t="shared" si="20"/>
        <v>153.63877550562458</v>
      </c>
      <c r="AV104">
        <f t="shared" si="20"/>
        <v>157.47974489326515</v>
      </c>
    </row>
    <row r="105" spans="1:48" x14ac:dyDescent="0.35">
      <c r="A105" t="s">
        <v>281</v>
      </c>
      <c r="B105" s="32">
        <f>NPV(P93,C104:AV104)</f>
        <v>996.15472465219943</v>
      </c>
    </row>
    <row r="108" spans="1:48" x14ac:dyDescent="0.35">
      <c r="J108" t="s">
        <v>280</v>
      </c>
      <c r="K108" t="s">
        <v>278</v>
      </c>
      <c r="L108" t="s">
        <v>297</v>
      </c>
    </row>
    <row r="109" spans="1:48" x14ac:dyDescent="0.35">
      <c r="J109">
        <v>7.0999999999999994E-2</v>
      </c>
      <c r="K109">
        <v>0.19</v>
      </c>
      <c r="L109">
        <v>2.5000000000000001E-2</v>
      </c>
    </row>
    <row r="110" spans="1:48" x14ac:dyDescent="0.35">
      <c r="A110" t="s">
        <v>271</v>
      </c>
      <c r="B110">
        <v>2024</v>
      </c>
      <c r="C110">
        <v>2025</v>
      </c>
      <c r="D110">
        <v>2026</v>
      </c>
      <c r="E110">
        <v>2027</v>
      </c>
      <c r="F110">
        <v>2028</v>
      </c>
      <c r="G110">
        <v>2029</v>
      </c>
      <c r="H110">
        <v>2030</v>
      </c>
      <c r="I110" t="s">
        <v>255</v>
      </c>
    </row>
    <row r="111" spans="1:48" x14ac:dyDescent="0.35">
      <c r="A111" t="s">
        <v>295</v>
      </c>
      <c r="B111">
        <v>929</v>
      </c>
      <c r="C111">
        <f>(1+C112)*B111</f>
        <v>966.16000000000008</v>
      </c>
      <c r="D111">
        <f t="shared" ref="D111:H111" si="21">(1+D112)*C111</f>
        <v>1004.8064000000002</v>
      </c>
      <c r="E111">
        <f t="shared" si="21"/>
        <v>1044.9986560000002</v>
      </c>
      <c r="F111">
        <f t="shared" si="21"/>
        <v>1086.7986022400003</v>
      </c>
      <c r="G111">
        <f t="shared" si="21"/>
        <v>1130.2705463296004</v>
      </c>
      <c r="H111">
        <f t="shared" si="21"/>
        <v>1175.4813681827845</v>
      </c>
    </row>
    <row r="112" spans="1:48" x14ac:dyDescent="0.35">
      <c r="A112" t="s">
        <v>288</v>
      </c>
      <c r="C112">
        <v>0.04</v>
      </c>
      <c r="D112">
        <v>0.04</v>
      </c>
      <c r="E112">
        <v>0.04</v>
      </c>
      <c r="F112">
        <v>0.04</v>
      </c>
      <c r="G112">
        <v>0.04</v>
      </c>
      <c r="H112">
        <v>0.04</v>
      </c>
    </row>
    <row r="113" spans="1:40" x14ac:dyDescent="0.35">
      <c r="A113" t="s">
        <v>289</v>
      </c>
      <c r="B113">
        <v>0.57999999999999996</v>
      </c>
      <c r="C113">
        <v>0.57999999999999996</v>
      </c>
      <c r="D113">
        <v>0.57999999999999996</v>
      </c>
      <c r="E113">
        <v>0.57999999999999996</v>
      </c>
      <c r="F113">
        <v>0.57999999999999996</v>
      </c>
      <c r="G113">
        <v>0.57999999999999996</v>
      </c>
      <c r="H113">
        <v>0.57999999999999996</v>
      </c>
    </row>
    <row r="114" spans="1:40" x14ac:dyDescent="0.35">
      <c r="A114" t="s">
        <v>54</v>
      </c>
      <c r="B114">
        <f>B113*B111</f>
        <v>538.81999999999994</v>
      </c>
      <c r="C114">
        <f t="shared" ref="C114:H114" si="22">C113*C111</f>
        <v>560.37279999999998</v>
      </c>
      <c r="D114">
        <f t="shared" si="22"/>
        <v>582.78771200000006</v>
      </c>
      <c r="E114">
        <f t="shared" si="22"/>
        <v>606.0992204800001</v>
      </c>
      <c r="F114">
        <f t="shared" si="22"/>
        <v>630.34318929920016</v>
      </c>
      <c r="G114">
        <f t="shared" si="22"/>
        <v>655.55691687116814</v>
      </c>
      <c r="H114">
        <f t="shared" si="22"/>
        <v>681.77919354601499</v>
      </c>
    </row>
    <row r="115" spans="1:40" x14ac:dyDescent="0.35">
      <c r="A115" t="s">
        <v>296</v>
      </c>
      <c r="B115">
        <v>0.15</v>
      </c>
      <c r="C115">
        <v>0.15</v>
      </c>
      <c r="D115">
        <v>0.15</v>
      </c>
      <c r="E115">
        <v>0.15</v>
      </c>
      <c r="F115">
        <v>0.15</v>
      </c>
      <c r="G115">
        <v>0.15</v>
      </c>
      <c r="H115">
        <v>0.15</v>
      </c>
    </row>
    <row r="116" spans="1:40" x14ac:dyDescent="0.35">
      <c r="A116" t="s">
        <v>181</v>
      </c>
      <c r="B116">
        <f>-B115*B111</f>
        <v>-139.35</v>
      </c>
      <c r="C116">
        <f t="shared" ref="C116:H116" si="23">-C115*C111</f>
        <v>-144.92400000000001</v>
      </c>
      <c r="D116">
        <f t="shared" si="23"/>
        <v>-150.72096000000002</v>
      </c>
      <c r="E116">
        <f t="shared" si="23"/>
        <v>-156.74979840000003</v>
      </c>
      <c r="F116">
        <f t="shared" si="23"/>
        <v>-163.01979033600003</v>
      </c>
      <c r="G116">
        <f t="shared" si="23"/>
        <v>-169.54058194944005</v>
      </c>
      <c r="H116">
        <f t="shared" si="23"/>
        <v>-176.32220522741767</v>
      </c>
    </row>
    <row r="117" spans="1:40" x14ac:dyDescent="0.35">
      <c r="A117" t="s">
        <v>278</v>
      </c>
      <c r="B117">
        <f>-SUM(B114)*$K$109</f>
        <v>-102.37579999999998</v>
      </c>
      <c r="C117">
        <f t="shared" ref="C117:H117" si="24">-SUM(C114)*$K$109</f>
        <v>-106.470832</v>
      </c>
      <c r="D117">
        <f t="shared" si="24"/>
        <v>-110.72966528000001</v>
      </c>
      <c r="E117">
        <f t="shared" si="24"/>
        <v>-115.15885189120002</v>
      </c>
      <c r="F117">
        <f t="shared" si="24"/>
        <v>-119.76520596684803</v>
      </c>
      <c r="G117">
        <f t="shared" si="24"/>
        <v>-124.55581420552195</v>
      </c>
      <c r="H117">
        <f t="shared" si="24"/>
        <v>-129.53804677374285</v>
      </c>
    </row>
    <row r="118" spans="1:40" x14ac:dyDescent="0.35">
      <c r="A118" t="s">
        <v>279</v>
      </c>
      <c r="B118">
        <f>SUM(B117,B116,B114)</f>
        <v>297.09419999999994</v>
      </c>
      <c r="C118">
        <f t="shared" ref="C118:H118" si="25">SUM(C117,C116,C114)</f>
        <v>308.97796799999998</v>
      </c>
      <c r="D118">
        <f t="shared" si="25"/>
        <v>321.33708672</v>
      </c>
      <c r="E118">
        <f t="shared" si="25"/>
        <v>334.19057018880005</v>
      </c>
      <c r="F118">
        <f t="shared" si="25"/>
        <v>347.55819299635209</v>
      </c>
      <c r="G118">
        <f t="shared" si="25"/>
        <v>361.46052071620613</v>
      </c>
      <c r="H118">
        <f t="shared" si="25"/>
        <v>375.91894154485448</v>
      </c>
      <c r="I118">
        <f>(H118*(1+L109))/(J109-L109)</f>
        <v>8376.4546757277367</v>
      </c>
    </row>
    <row r="119" spans="1:40" x14ac:dyDescent="0.35">
      <c r="A119" t="s">
        <v>281</v>
      </c>
      <c r="B119" s="32">
        <f>NPV(J109,C118:I118)</f>
        <v>6792.8784751038747</v>
      </c>
    </row>
    <row r="120" spans="1:40" x14ac:dyDescent="0.35">
      <c r="A120" t="s">
        <v>298</v>
      </c>
      <c r="B120" s="32">
        <f>B119*1.14</f>
        <v>7743.8814616184163</v>
      </c>
    </row>
    <row r="124" spans="1:40" x14ac:dyDescent="0.35">
      <c r="J124" t="s">
        <v>280</v>
      </c>
      <c r="K124" t="s">
        <v>278</v>
      </c>
    </row>
    <row r="125" spans="1:40" x14ac:dyDescent="0.35">
      <c r="J125">
        <v>6.2E-2</v>
      </c>
      <c r="K125">
        <v>0.31</v>
      </c>
    </row>
    <row r="126" spans="1:40" x14ac:dyDescent="0.35">
      <c r="A126" t="s">
        <v>259</v>
      </c>
      <c r="B126">
        <v>2024</v>
      </c>
      <c r="C126">
        <v>2025</v>
      </c>
      <c r="D126">
        <v>2026</v>
      </c>
      <c r="E126">
        <v>2027</v>
      </c>
      <c r="F126">
        <v>2028</v>
      </c>
      <c r="G126">
        <v>2029</v>
      </c>
      <c r="H126">
        <v>2030</v>
      </c>
      <c r="I126">
        <f>H126+1</f>
        <v>2031</v>
      </c>
      <c r="J126">
        <f t="shared" ref="J126:AW126" si="26">I126+1</f>
        <v>2032</v>
      </c>
      <c r="K126">
        <f t="shared" si="26"/>
        <v>2033</v>
      </c>
      <c r="L126">
        <f t="shared" si="26"/>
        <v>2034</v>
      </c>
      <c r="M126">
        <f t="shared" si="26"/>
        <v>2035</v>
      </c>
      <c r="N126">
        <f t="shared" si="26"/>
        <v>2036</v>
      </c>
      <c r="O126">
        <f t="shared" si="26"/>
        <v>2037</v>
      </c>
      <c r="P126">
        <f t="shared" si="26"/>
        <v>2038</v>
      </c>
      <c r="Q126">
        <f t="shared" si="26"/>
        <v>2039</v>
      </c>
      <c r="R126">
        <f t="shared" si="26"/>
        <v>2040</v>
      </c>
      <c r="S126">
        <f t="shared" si="26"/>
        <v>2041</v>
      </c>
      <c r="T126">
        <f t="shared" si="26"/>
        <v>2042</v>
      </c>
      <c r="U126">
        <f t="shared" si="26"/>
        <v>2043</v>
      </c>
      <c r="V126">
        <f t="shared" si="26"/>
        <v>2044</v>
      </c>
      <c r="W126">
        <f t="shared" si="26"/>
        <v>2045</v>
      </c>
      <c r="X126">
        <f t="shared" si="26"/>
        <v>2046</v>
      </c>
      <c r="Y126">
        <f t="shared" si="26"/>
        <v>2047</v>
      </c>
      <c r="Z126">
        <f t="shared" si="26"/>
        <v>2048</v>
      </c>
      <c r="AA126">
        <f t="shared" si="26"/>
        <v>2049</v>
      </c>
      <c r="AB126">
        <f t="shared" si="26"/>
        <v>2050</v>
      </c>
      <c r="AC126">
        <f t="shared" si="26"/>
        <v>2051</v>
      </c>
      <c r="AD126">
        <f t="shared" si="26"/>
        <v>2052</v>
      </c>
      <c r="AE126">
        <f t="shared" si="26"/>
        <v>2053</v>
      </c>
      <c r="AF126">
        <f t="shared" si="26"/>
        <v>2054</v>
      </c>
      <c r="AG126">
        <f t="shared" si="26"/>
        <v>2055</v>
      </c>
      <c r="AH126">
        <f t="shared" si="26"/>
        <v>2056</v>
      </c>
      <c r="AI126">
        <f t="shared" si="26"/>
        <v>2057</v>
      </c>
      <c r="AJ126">
        <f t="shared" si="26"/>
        <v>2058</v>
      </c>
      <c r="AK126">
        <f t="shared" si="26"/>
        <v>2059</v>
      </c>
      <c r="AL126">
        <f t="shared" si="26"/>
        <v>2060</v>
      </c>
      <c r="AM126">
        <f t="shared" si="26"/>
        <v>2061</v>
      </c>
      <c r="AN126">
        <f t="shared" si="26"/>
        <v>2062</v>
      </c>
    </row>
    <row r="127" spans="1:40" x14ac:dyDescent="0.35">
      <c r="A127" t="s">
        <v>295</v>
      </c>
      <c r="B127">
        <v>1315</v>
      </c>
      <c r="C127">
        <f>(1+C128)*B127</f>
        <v>1354.45</v>
      </c>
      <c r="D127">
        <f t="shared" ref="D127:AN127" si="27">(1+D128)*C127</f>
        <v>1395.0835000000002</v>
      </c>
      <c r="E127">
        <f t="shared" si="27"/>
        <v>1436.9360050000003</v>
      </c>
      <c r="F127">
        <f t="shared" si="27"/>
        <v>1480.0440851500002</v>
      </c>
      <c r="G127">
        <f t="shared" si="27"/>
        <v>1524.4454077045002</v>
      </c>
      <c r="H127">
        <f t="shared" si="27"/>
        <v>1570.1787699356353</v>
      </c>
      <c r="I127">
        <f t="shared" si="27"/>
        <v>1617.2841330337044</v>
      </c>
      <c r="J127">
        <f t="shared" si="27"/>
        <v>1665.8026570247155</v>
      </c>
      <c r="K127">
        <f t="shared" si="27"/>
        <v>1715.776736735457</v>
      </c>
      <c r="L127">
        <f t="shared" si="27"/>
        <v>1767.2500388375208</v>
      </c>
      <c r="M127">
        <f t="shared" si="27"/>
        <v>1820.2675400026465</v>
      </c>
      <c r="N127">
        <f t="shared" si="27"/>
        <v>1874.8755662027258</v>
      </c>
      <c r="O127">
        <f t="shared" si="27"/>
        <v>1931.1218331888076</v>
      </c>
      <c r="P127">
        <f t="shared" si="27"/>
        <v>1989.0554881844719</v>
      </c>
      <c r="Q127">
        <f t="shared" si="27"/>
        <v>2048.7271528300062</v>
      </c>
      <c r="R127">
        <f t="shared" si="27"/>
        <v>2110.1889674149065</v>
      </c>
      <c r="S127">
        <f t="shared" si="27"/>
        <v>2173.4946364373536</v>
      </c>
      <c r="T127">
        <f t="shared" si="27"/>
        <v>2238.6994755304745</v>
      </c>
      <c r="U127">
        <f t="shared" si="27"/>
        <v>2305.860459796389</v>
      </c>
      <c r="V127">
        <f t="shared" si="27"/>
        <v>2375.0362735902809</v>
      </c>
      <c r="W127">
        <f t="shared" si="27"/>
        <v>2446.2873617979894</v>
      </c>
      <c r="X127">
        <f t="shared" si="27"/>
        <v>2519.6759826519292</v>
      </c>
      <c r="Y127">
        <f t="shared" si="27"/>
        <v>2595.2662621314871</v>
      </c>
      <c r="Z127">
        <f t="shared" si="27"/>
        <v>2673.1242499954319</v>
      </c>
      <c r="AA127">
        <f t="shared" si="27"/>
        <v>2753.3179774952951</v>
      </c>
      <c r="AB127">
        <f t="shared" si="27"/>
        <v>2835.9175168201541</v>
      </c>
      <c r="AC127">
        <f t="shared" si="27"/>
        <v>2920.9950423247587</v>
      </c>
      <c r="AD127">
        <f t="shared" si="27"/>
        <v>3008.6248935945014</v>
      </c>
      <c r="AE127">
        <f t="shared" si="27"/>
        <v>3098.8836404023364</v>
      </c>
      <c r="AF127">
        <f t="shared" si="27"/>
        <v>3191.8501496144067</v>
      </c>
      <c r="AG127">
        <f t="shared" si="27"/>
        <v>3287.6056541028393</v>
      </c>
      <c r="AH127">
        <f t="shared" si="27"/>
        <v>3386.2338237259246</v>
      </c>
      <c r="AI127">
        <f t="shared" si="27"/>
        <v>3487.8208384377026</v>
      </c>
      <c r="AJ127">
        <f t="shared" si="27"/>
        <v>3592.4554635908339</v>
      </c>
      <c r="AK127">
        <f t="shared" si="27"/>
        <v>3700.2291274985591</v>
      </c>
      <c r="AL127">
        <f t="shared" si="27"/>
        <v>3811.2360013235161</v>
      </c>
      <c r="AM127">
        <f t="shared" si="27"/>
        <v>3925.5730813632217</v>
      </c>
      <c r="AN127">
        <f t="shared" si="27"/>
        <v>4043.3402738041186</v>
      </c>
    </row>
    <row r="128" spans="1:40" x14ac:dyDescent="0.35">
      <c r="A128" t="s">
        <v>288</v>
      </c>
      <c r="C128">
        <v>0.03</v>
      </c>
      <c r="D128">
        <v>0.03</v>
      </c>
      <c r="E128">
        <v>0.03</v>
      </c>
      <c r="F128">
        <v>0.03</v>
      </c>
      <c r="G128">
        <v>0.03</v>
      </c>
      <c r="H128">
        <v>0.03</v>
      </c>
      <c r="I128">
        <v>0.03</v>
      </c>
      <c r="J128">
        <v>0.03</v>
      </c>
      <c r="K128">
        <v>0.03</v>
      </c>
      <c r="L128">
        <v>0.03</v>
      </c>
      <c r="M128">
        <v>0.03</v>
      </c>
      <c r="N128">
        <v>0.03</v>
      </c>
      <c r="O128">
        <v>0.03</v>
      </c>
      <c r="P128">
        <v>0.03</v>
      </c>
      <c r="Q128">
        <v>0.03</v>
      </c>
      <c r="R128">
        <v>0.03</v>
      </c>
      <c r="S128">
        <v>0.03</v>
      </c>
      <c r="T128">
        <v>0.03</v>
      </c>
      <c r="U128">
        <v>0.03</v>
      </c>
      <c r="V128">
        <v>0.03</v>
      </c>
      <c r="W128">
        <v>0.03</v>
      </c>
      <c r="X128">
        <v>0.03</v>
      </c>
      <c r="Y128">
        <v>0.03</v>
      </c>
      <c r="Z128">
        <v>0.03</v>
      </c>
      <c r="AA128">
        <v>0.03</v>
      </c>
      <c r="AB128">
        <v>0.03</v>
      </c>
      <c r="AC128">
        <v>0.03</v>
      </c>
      <c r="AD128">
        <v>0.03</v>
      </c>
      <c r="AE128">
        <v>0.03</v>
      </c>
      <c r="AF128">
        <v>0.03</v>
      </c>
      <c r="AG128">
        <v>0.03</v>
      </c>
      <c r="AH128">
        <v>0.03</v>
      </c>
      <c r="AI128">
        <v>0.03</v>
      </c>
      <c r="AJ128">
        <v>0.03</v>
      </c>
      <c r="AK128">
        <v>0.03</v>
      </c>
      <c r="AL128">
        <v>0.03</v>
      </c>
      <c r="AM128">
        <v>0.03</v>
      </c>
      <c r="AN128">
        <v>0.03</v>
      </c>
    </row>
    <row r="129" spans="1:40" x14ac:dyDescent="0.35">
      <c r="A129" t="s">
        <v>289</v>
      </c>
      <c r="B129">
        <v>0.67</v>
      </c>
      <c r="C129">
        <v>0.67</v>
      </c>
      <c r="D129">
        <v>0.67</v>
      </c>
      <c r="E129">
        <v>0.67</v>
      </c>
      <c r="F129">
        <v>0.67</v>
      </c>
      <c r="G129">
        <v>0.67</v>
      </c>
      <c r="H129">
        <v>0.67</v>
      </c>
      <c r="I129">
        <v>0.67</v>
      </c>
      <c r="J129">
        <v>0.67</v>
      </c>
      <c r="K129">
        <v>0.67</v>
      </c>
      <c r="L129">
        <v>0.67</v>
      </c>
      <c r="M129">
        <v>0.67</v>
      </c>
      <c r="N129">
        <v>0.67</v>
      </c>
      <c r="O129">
        <v>0.67</v>
      </c>
      <c r="P129">
        <v>0.67</v>
      </c>
      <c r="Q129">
        <v>0.67</v>
      </c>
      <c r="R129">
        <v>0.67</v>
      </c>
      <c r="S129">
        <v>0.67</v>
      </c>
      <c r="T129">
        <v>0.67</v>
      </c>
      <c r="U129">
        <v>0.67</v>
      </c>
      <c r="V129">
        <v>0.67</v>
      </c>
      <c r="W129">
        <v>0.67</v>
      </c>
      <c r="X129">
        <v>0.67</v>
      </c>
      <c r="Y129">
        <v>0.67</v>
      </c>
      <c r="Z129">
        <v>0.67</v>
      </c>
      <c r="AA129">
        <v>0.67</v>
      </c>
      <c r="AB129">
        <v>0.67</v>
      </c>
      <c r="AC129">
        <v>0.67</v>
      </c>
      <c r="AD129">
        <v>0.67</v>
      </c>
      <c r="AE129">
        <v>0.67</v>
      </c>
      <c r="AF129">
        <v>0.67</v>
      </c>
      <c r="AG129">
        <v>0.67</v>
      </c>
      <c r="AH129">
        <v>0.67</v>
      </c>
      <c r="AI129">
        <v>0.67</v>
      </c>
      <c r="AJ129">
        <v>0.67</v>
      </c>
      <c r="AK129">
        <v>0.67</v>
      </c>
      <c r="AL129">
        <v>0.67</v>
      </c>
      <c r="AM129">
        <v>0.67</v>
      </c>
      <c r="AN129">
        <v>0.67</v>
      </c>
    </row>
    <row r="130" spans="1:40" x14ac:dyDescent="0.35">
      <c r="A130" t="s">
        <v>54</v>
      </c>
      <c r="B130">
        <f>B129*B127</f>
        <v>881.05000000000007</v>
      </c>
      <c r="C130">
        <f t="shared" ref="C130:AN130" si="28">C129*C127</f>
        <v>907.4815000000001</v>
      </c>
      <c r="D130">
        <f t="shared" si="28"/>
        <v>934.70594500000016</v>
      </c>
      <c r="E130">
        <f t="shared" si="28"/>
        <v>962.74712335000027</v>
      </c>
      <c r="F130">
        <f t="shared" si="28"/>
        <v>991.62953705050018</v>
      </c>
      <c r="G130">
        <f t="shared" si="28"/>
        <v>1021.3784231620152</v>
      </c>
      <c r="H130">
        <f t="shared" si="28"/>
        <v>1052.0197758568756</v>
      </c>
      <c r="I130">
        <f t="shared" si="28"/>
        <v>1083.5803691325821</v>
      </c>
      <c r="J130">
        <f t="shared" si="28"/>
        <v>1116.0877802065595</v>
      </c>
      <c r="K130">
        <f t="shared" si="28"/>
        <v>1149.5704136127563</v>
      </c>
      <c r="L130">
        <f t="shared" si="28"/>
        <v>1184.057526021139</v>
      </c>
      <c r="M130">
        <f t="shared" si="28"/>
        <v>1219.5792518017731</v>
      </c>
      <c r="N130">
        <f t="shared" si="28"/>
        <v>1256.1666293558264</v>
      </c>
      <c r="O130">
        <f t="shared" si="28"/>
        <v>1293.8516282365013</v>
      </c>
      <c r="P130">
        <f t="shared" si="28"/>
        <v>1332.6671770835962</v>
      </c>
      <c r="Q130">
        <f t="shared" si="28"/>
        <v>1372.6471923961042</v>
      </c>
      <c r="R130">
        <f t="shared" si="28"/>
        <v>1413.8266081679874</v>
      </c>
      <c r="S130">
        <f t="shared" si="28"/>
        <v>1456.2414064130271</v>
      </c>
      <c r="T130">
        <f t="shared" si="28"/>
        <v>1499.9286486054179</v>
      </c>
      <c r="U130">
        <f t="shared" si="28"/>
        <v>1544.9265080635807</v>
      </c>
      <c r="V130">
        <f t="shared" si="28"/>
        <v>1591.2743033054883</v>
      </c>
      <c r="W130">
        <f t="shared" si="28"/>
        <v>1639.012532404653</v>
      </c>
      <c r="X130">
        <f t="shared" si="28"/>
        <v>1688.1829083767927</v>
      </c>
      <c r="Y130">
        <f t="shared" si="28"/>
        <v>1738.8283956280964</v>
      </c>
      <c r="Z130">
        <f t="shared" si="28"/>
        <v>1790.9932474969394</v>
      </c>
      <c r="AA130">
        <f t="shared" si="28"/>
        <v>1844.7230449218478</v>
      </c>
      <c r="AB130">
        <f t="shared" si="28"/>
        <v>1900.0647362695033</v>
      </c>
      <c r="AC130">
        <f t="shared" si="28"/>
        <v>1957.0666783575884</v>
      </c>
      <c r="AD130">
        <f t="shared" si="28"/>
        <v>2015.778678708316</v>
      </c>
      <c r="AE130">
        <f t="shared" si="28"/>
        <v>2076.2520390695654</v>
      </c>
      <c r="AF130">
        <f t="shared" si="28"/>
        <v>2138.5396002416528</v>
      </c>
      <c r="AG130">
        <f t="shared" si="28"/>
        <v>2202.6957882489023</v>
      </c>
      <c r="AH130">
        <f t="shared" si="28"/>
        <v>2268.7766618963697</v>
      </c>
      <c r="AI130">
        <f t="shared" si="28"/>
        <v>2336.8399617532609</v>
      </c>
      <c r="AJ130">
        <f t="shared" si="28"/>
        <v>2406.9451606058587</v>
      </c>
      <c r="AK130">
        <f t="shared" si="28"/>
        <v>2479.1535154240346</v>
      </c>
      <c r="AL130">
        <f t="shared" si="28"/>
        <v>2553.5281208867559</v>
      </c>
      <c r="AM130">
        <f t="shared" si="28"/>
        <v>2630.1339645133589</v>
      </c>
      <c r="AN130">
        <f t="shared" si="28"/>
        <v>2709.0379834487599</v>
      </c>
    </row>
    <row r="131" spans="1:40" x14ac:dyDescent="0.35">
      <c r="A131" t="s">
        <v>296</v>
      </c>
      <c r="B131">
        <v>0.03</v>
      </c>
      <c r="C131">
        <v>0.03</v>
      </c>
      <c r="D131">
        <v>0.03</v>
      </c>
      <c r="E131">
        <v>0.03</v>
      </c>
      <c r="F131">
        <v>0.03</v>
      </c>
      <c r="G131">
        <v>0.03</v>
      </c>
      <c r="H131">
        <v>0.03</v>
      </c>
      <c r="I131">
        <v>0.03</v>
      </c>
      <c r="J131">
        <v>0.03</v>
      </c>
      <c r="K131">
        <v>0.03</v>
      </c>
      <c r="L131">
        <v>0.03</v>
      </c>
      <c r="M131">
        <v>0.03</v>
      </c>
      <c r="N131">
        <v>0.03</v>
      </c>
      <c r="O131">
        <v>0.03</v>
      </c>
      <c r="P131">
        <v>0.03</v>
      </c>
      <c r="Q131">
        <v>0.03</v>
      </c>
      <c r="R131">
        <v>0.03</v>
      </c>
      <c r="S131">
        <v>0.03</v>
      </c>
      <c r="T131">
        <v>0.03</v>
      </c>
      <c r="U131">
        <v>0.03</v>
      </c>
      <c r="V131">
        <v>0.03</v>
      </c>
      <c r="W131">
        <v>0.03</v>
      </c>
      <c r="X131">
        <v>0.03</v>
      </c>
      <c r="Y131">
        <v>0.03</v>
      </c>
      <c r="Z131">
        <v>0.03</v>
      </c>
      <c r="AA131">
        <v>0.03</v>
      </c>
      <c r="AB131">
        <v>0.03</v>
      </c>
      <c r="AC131">
        <v>0.03</v>
      </c>
      <c r="AD131">
        <v>0.03</v>
      </c>
      <c r="AE131">
        <v>0.03</v>
      </c>
      <c r="AF131">
        <v>0.03</v>
      </c>
      <c r="AG131">
        <v>0.03</v>
      </c>
      <c r="AH131">
        <v>0.03</v>
      </c>
      <c r="AI131">
        <v>0.03</v>
      </c>
      <c r="AJ131">
        <v>0.03</v>
      </c>
      <c r="AK131">
        <v>0.03</v>
      </c>
      <c r="AL131">
        <v>0.03</v>
      </c>
      <c r="AM131">
        <v>0.03</v>
      </c>
      <c r="AN131">
        <v>0.03</v>
      </c>
    </row>
    <row r="132" spans="1:40" x14ac:dyDescent="0.35">
      <c r="A132" t="s">
        <v>181</v>
      </c>
      <c r="B132">
        <f>-B131*B127</f>
        <v>-39.449999999999996</v>
      </c>
      <c r="C132">
        <f t="shared" ref="C132:AN132" si="29">-C131*C127</f>
        <v>-40.633499999999998</v>
      </c>
      <c r="D132">
        <f t="shared" si="29"/>
        <v>-41.852505000000001</v>
      </c>
      <c r="E132">
        <f t="shared" si="29"/>
        <v>-43.108080150000006</v>
      </c>
      <c r="F132">
        <f t="shared" si="29"/>
        <v>-44.401322554500005</v>
      </c>
      <c r="G132">
        <f t="shared" si="29"/>
        <v>-45.733362231135004</v>
      </c>
      <c r="H132">
        <f t="shared" si="29"/>
        <v>-47.105363098069056</v>
      </c>
      <c r="I132">
        <f t="shared" si="29"/>
        <v>-48.518523991011129</v>
      </c>
      <c r="J132">
        <f t="shared" si="29"/>
        <v>-49.974079710741464</v>
      </c>
      <c r="K132">
        <f t="shared" si="29"/>
        <v>-51.473302102063705</v>
      </c>
      <c r="L132">
        <f t="shared" si="29"/>
        <v>-53.017501165125623</v>
      </c>
      <c r="M132">
        <f t="shared" si="29"/>
        <v>-54.608026200079394</v>
      </c>
      <c r="N132">
        <f t="shared" si="29"/>
        <v>-56.246266986081771</v>
      </c>
      <c r="O132">
        <f t="shared" si="29"/>
        <v>-57.933654995664227</v>
      </c>
      <c r="P132">
        <f t="shared" si="29"/>
        <v>-59.67166464553415</v>
      </c>
      <c r="Q132">
        <f t="shared" si="29"/>
        <v>-61.461814584900182</v>
      </c>
      <c r="R132">
        <f t="shared" si="29"/>
        <v>-63.305669022447191</v>
      </c>
      <c r="S132">
        <f t="shared" si="29"/>
        <v>-65.204839093120611</v>
      </c>
      <c r="T132">
        <f t="shared" si="29"/>
        <v>-67.160984265914237</v>
      </c>
      <c r="U132">
        <f t="shared" si="29"/>
        <v>-69.175813793891663</v>
      </c>
      <c r="V132">
        <f t="shared" si="29"/>
        <v>-71.25108820770842</v>
      </c>
      <c r="W132">
        <f t="shared" si="29"/>
        <v>-73.388620853939685</v>
      </c>
      <c r="X132">
        <f t="shared" si="29"/>
        <v>-75.590279479557879</v>
      </c>
      <c r="Y132">
        <f t="shared" si="29"/>
        <v>-77.857987863944615</v>
      </c>
      <c r="Z132">
        <f t="shared" si="29"/>
        <v>-80.193727499862959</v>
      </c>
      <c r="AA132">
        <f t="shared" si="29"/>
        <v>-82.599539324858853</v>
      </c>
      <c r="AB132">
        <f t="shared" si="29"/>
        <v>-85.077525504604623</v>
      </c>
      <c r="AC132">
        <f t="shared" si="29"/>
        <v>-87.629851269742758</v>
      </c>
      <c r="AD132">
        <f t="shared" si="29"/>
        <v>-90.258746807835038</v>
      </c>
      <c r="AE132">
        <f t="shared" si="29"/>
        <v>-92.966509212070093</v>
      </c>
      <c r="AF132">
        <f t="shared" si="29"/>
        <v>-95.755504488432194</v>
      </c>
      <c r="AG132">
        <f t="shared" si="29"/>
        <v>-98.628169623085171</v>
      </c>
      <c r="AH132">
        <f t="shared" si="29"/>
        <v>-101.58701471177774</v>
      </c>
      <c r="AI132">
        <f t="shared" si="29"/>
        <v>-104.63462515313107</v>
      </c>
      <c r="AJ132">
        <f t="shared" si="29"/>
        <v>-107.77366390772501</v>
      </c>
      <c r="AK132">
        <f t="shared" si="29"/>
        <v>-111.00687382495677</v>
      </c>
      <c r="AL132">
        <f t="shared" si="29"/>
        <v>-114.33708003970548</v>
      </c>
      <c r="AM132">
        <f t="shared" si="29"/>
        <v>-117.76719244089665</v>
      </c>
      <c r="AN132">
        <f t="shared" si="29"/>
        <v>-121.30020821412356</v>
      </c>
    </row>
    <row r="133" spans="1:40" x14ac:dyDescent="0.35">
      <c r="A133" t="s">
        <v>278</v>
      </c>
      <c r="B133">
        <f>-SUM(B130)*$K$125</f>
        <v>-273.12550000000005</v>
      </c>
      <c r="C133">
        <f t="shared" ref="C133:AN133" si="30">-SUM(C130)*$K$125</f>
        <v>-281.31926500000003</v>
      </c>
      <c r="D133">
        <f t="shared" si="30"/>
        <v>-289.75884295000003</v>
      </c>
      <c r="E133">
        <f t="shared" si="30"/>
        <v>-298.45160823850006</v>
      </c>
      <c r="F133">
        <f t="shared" si="30"/>
        <v>-307.40515648565503</v>
      </c>
      <c r="G133">
        <f t="shared" si="30"/>
        <v>-316.62731118022469</v>
      </c>
      <c r="H133">
        <f t="shared" si="30"/>
        <v>-326.12613051563147</v>
      </c>
      <c r="I133">
        <f t="shared" si="30"/>
        <v>-335.90991443110045</v>
      </c>
      <c r="J133">
        <f t="shared" si="30"/>
        <v>-345.98721186403344</v>
      </c>
      <c r="K133">
        <f t="shared" si="30"/>
        <v>-356.36682821995447</v>
      </c>
      <c r="L133">
        <f t="shared" si="30"/>
        <v>-367.05783306655309</v>
      </c>
      <c r="M133">
        <f t="shared" si="30"/>
        <v>-378.06956805854969</v>
      </c>
      <c r="N133">
        <f t="shared" si="30"/>
        <v>-389.41165510030618</v>
      </c>
      <c r="O133">
        <f t="shared" si="30"/>
        <v>-401.0940047533154</v>
      </c>
      <c r="P133">
        <f t="shared" si="30"/>
        <v>-413.12682489591481</v>
      </c>
      <c r="Q133">
        <f t="shared" si="30"/>
        <v>-425.5206296427923</v>
      </c>
      <c r="R133">
        <f t="shared" si="30"/>
        <v>-438.28624853207612</v>
      </c>
      <c r="S133">
        <f t="shared" si="30"/>
        <v>-451.4348359880384</v>
      </c>
      <c r="T133">
        <f t="shared" si="30"/>
        <v>-464.97788106767956</v>
      </c>
      <c r="U133">
        <f t="shared" si="30"/>
        <v>-478.92721749971003</v>
      </c>
      <c r="V133">
        <f t="shared" si="30"/>
        <v>-493.29503402470135</v>
      </c>
      <c r="W133">
        <f t="shared" si="30"/>
        <v>-508.09388504544245</v>
      </c>
      <c r="X133">
        <f t="shared" si="30"/>
        <v>-523.33670159680571</v>
      </c>
      <c r="Y133">
        <f t="shared" si="30"/>
        <v>-539.03680264470984</v>
      </c>
      <c r="Z133">
        <f t="shared" si="30"/>
        <v>-555.20790672405121</v>
      </c>
      <c r="AA133">
        <f t="shared" si="30"/>
        <v>-571.86414392577285</v>
      </c>
      <c r="AB133">
        <f t="shared" si="30"/>
        <v>-589.02006824354601</v>
      </c>
      <c r="AC133">
        <f t="shared" si="30"/>
        <v>-606.69067029085238</v>
      </c>
      <c r="AD133">
        <f t="shared" si="30"/>
        <v>-624.89139039957797</v>
      </c>
      <c r="AE133">
        <f t="shared" si="30"/>
        <v>-643.63813211156526</v>
      </c>
      <c r="AF133">
        <f t="shared" si="30"/>
        <v>-662.94727607491234</v>
      </c>
      <c r="AG133">
        <f t="shared" si="30"/>
        <v>-682.8356943571597</v>
      </c>
      <c r="AH133">
        <f t="shared" si="30"/>
        <v>-703.3207651878746</v>
      </c>
      <c r="AI133">
        <f t="shared" si="30"/>
        <v>-724.42038814351088</v>
      </c>
      <c r="AJ133">
        <f t="shared" si="30"/>
        <v>-746.15299978781616</v>
      </c>
      <c r="AK133">
        <f t="shared" si="30"/>
        <v>-768.53758978145072</v>
      </c>
      <c r="AL133">
        <f t="shared" si="30"/>
        <v>-791.59371747489433</v>
      </c>
      <c r="AM133">
        <f t="shared" si="30"/>
        <v>-815.34152899914125</v>
      </c>
      <c r="AN133">
        <f t="shared" si="30"/>
        <v>-839.80177486911555</v>
      </c>
    </row>
    <row r="134" spans="1:40" x14ac:dyDescent="0.35">
      <c r="A134" t="s">
        <v>279</v>
      </c>
      <c r="B134">
        <f>SUM(B133,B132,B130)</f>
        <v>568.47450000000003</v>
      </c>
      <c r="C134">
        <f t="shared" ref="C134:AN134" si="31">SUM(C133,C132,C130)</f>
        <v>585.5287350000001</v>
      </c>
      <c r="D134">
        <f t="shared" si="31"/>
        <v>603.09459705000017</v>
      </c>
      <c r="E134">
        <f t="shared" si="31"/>
        <v>621.18743496150023</v>
      </c>
      <c r="F134">
        <f t="shared" si="31"/>
        <v>639.82305801034522</v>
      </c>
      <c r="G134">
        <f t="shared" si="31"/>
        <v>659.01774975065553</v>
      </c>
      <c r="H134">
        <f t="shared" si="31"/>
        <v>678.7882822431751</v>
      </c>
      <c r="I134">
        <f t="shared" si="31"/>
        <v>699.15193071047042</v>
      </c>
      <c r="J134">
        <f t="shared" si="31"/>
        <v>720.12648863178458</v>
      </c>
      <c r="K134">
        <f t="shared" si="31"/>
        <v>741.73028329073804</v>
      </c>
      <c r="L134">
        <f t="shared" si="31"/>
        <v>763.98219178946033</v>
      </c>
      <c r="M134">
        <f t="shared" si="31"/>
        <v>786.90165754314398</v>
      </c>
      <c r="N134">
        <f t="shared" si="31"/>
        <v>810.50870726943845</v>
      </c>
      <c r="O134">
        <f t="shared" si="31"/>
        <v>834.8239684875216</v>
      </c>
      <c r="P134">
        <f t="shared" si="31"/>
        <v>859.86868754214731</v>
      </c>
      <c r="Q134">
        <f t="shared" si="31"/>
        <v>885.66474816841173</v>
      </c>
      <c r="R134">
        <f t="shared" si="31"/>
        <v>912.23469061346407</v>
      </c>
      <c r="S134">
        <f t="shared" si="31"/>
        <v>939.60173133186811</v>
      </c>
      <c r="T134">
        <f t="shared" si="31"/>
        <v>967.78978327182415</v>
      </c>
      <c r="U134">
        <f t="shared" si="31"/>
        <v>996.82347676997904</v>
      </c>
      <c r="V134">
        <f t="shared" si="31"/>
        <v>1026.7281810730785</v>
      </c>
      <c r="W134">
        <f t="shared" si="31"/>
        <v>1057.5300265052711</v>
      </c>
      <c r="X134">
        <f t="shared" si="31"/>
        <v>1089.255927300429</v>
      </c>
      <c r="Y134">
        <f t="shared" si="31"/>
        <v>1121.9336051194418</v>
      </c>
      <c r="Z134">
        <f t="shared" si="31"/>
        <v>1155.5916132730254</v>
      </c>
      <c r="AA134">
        <f t="shared" si="31"/>
        <v>1190.2593616712161</v>
      </c>
      <c r="AB134">
        <f t="shared" si="31"/>
        <v>1225.9671425213528</v>
      </c>
      <c r="AC134">
        <f t="shared" si="31"/>
        <v>1262.7461567969933</v>
      </c>
      <c r="AD134">
        <f t="shared" si="31"/>
        <v>1300.6285415009029</v>
      </c>
      <c r="AE134">
        <f t="shared" si="31"/>
        <v>1339.64739774593</v>
      </c>
      <c r="AF134">
        <f t="shared" si="31"/>
        <v>1379.8368196783083</v>
      </c>
      <c r="AG134">
        <f t="shared" si="31"/>
        <v>1421.2319242686574</v>
      </c>
      <c r="AH134">
        <f t="shared" si="31"/>
        <v>1463.8688819967174</v>
      </c>
      <c r="AI134">
        <f t="shared" si="31"/>
        <v>1507.7849484566191</v>
      </c>
      <c r="AJ134">
        <f t="shared" si="31"/>
        <v>1553.0184969103175</v>
      </c>
      <c r="AK134">
        <f t="shared" si="31"/>
        <v>1599.609051817627</v>
      </c>
      <c r="AL134">
        <f t="shared" si="31"/>
        <v>1647.5973233721561</v>
      </c>
      <c r="AM134">
        <f t="shared" si="31"/>
        <v>1697.025243073321</v>
      </c>
      <c r="AN134">
        <f t="shared" si="31"/>
        <v>1747.9360003655206</v>
      </c>
    </row>
    <row r="135" spans="1:40" x14ac:dyDescent="0.35">
      <c r="A135" t="s">
        <v>281</v>
      </c>
      <c r="B135" s="32">
        <f>NPV(J125,C134:AN134)</f>
        <v>12576.651914043927</v>
      </c>
    </row>
  </sheetData>
  <pageMargins left="0.7" right="0.7" top="0.75" bottom="0.75" header="0.3" footer="0.3"/>
  <ignoredErrors>
    <ignoredError sqref="O46:R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Segment Rev+OPI build</vt:lpstr>
      <vt:lpstr>OrderBook</vt:lpstr>
      <vt:lpstr>SOTP</vt:lpstr>
    </vt:vector>
  </TitlesOfParts>
  <Company>BNYMellon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Nachman, David</dc:creator>
  <cp:lastModifiedBy>David Aiden Nachman</cp:lastModifiedBy>
  <dcterms:created xsi:type="dcterms:W3CDTF">2024-06-13T15:37:03Z</dcterms:created>
  <dcterms:modified xsi:type="dcterms:W3CDTF">2024-06-22T20:43:09Z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99b097-9bf6-4f61-bb2a-796cf4f311c2_Enabled">
    <vt:lpwstr>true</vt:lpwstr>
  </property>
  <property fmtid="{D5CDD505-2E9C-101B-9397-08002B2CF9AE}" pid="3" name="MSIP_Label_0699b097-9bf6-4f61-bb2a-796cf4f311c2_SetDate">
    <vt:lpwstr>2024-06-13T17:25:33Z</vt:lpwstr>
  </property>
  <property fmtid="{D5CDD505-2E9C-101B-9397-08002B2CF9AE}" pid="4" name="MSIP_Label_0699b097-9bf6-4f61-bb2a-796cf4f311c2_Method">
    <vt:lpwstr>Privileged</vt:lpwstr>
  </property>
  <property fmtid="{D5CDD505-2E9C-101B-9397-08002B2CF9AE}" pid="5" name="MSIP_Label_0699b097-9bf6-4f61-bb2a-796cf4f311c2_Name">
    <vt:lpwstr>IUO - Classify Only</vt:lpwstr>
  </property>
  <property fmtid="{D5CDD505-2E9C-101B-9397-08002B2CF9AE}" pid="6" name="MSIP_Label_0699b097-9bf6-4f61-bb2a-796cf4f311c2_SiteId">
    <vt:lpwstr>106bdeea-f616-4dfc-bc1d-6cbbf45e2011</vt:lpwstr>
  </property>
  <property fmtid="{D5CDD505-2E9C-101B-9397-08002B2CF9AE}" pid="7" name="MSIP_Label_0699b097-9bf6-4f61-bb2a-796cf4f311c2_ActionId">
    <vt:lpwstr>c94539d3-83f6-49a8-9964-71392bd0620b</vt:lpwstr>
  </property>
  <property fmtid="{D5CDD505-2E9C-101B-9397-08002B2CF9AE}" pid="8" name="MSIP_Label_0699b097-9bf6-4f61-bb2a-796cf4f311c2_ContentBits">
    <vt:lpwstr>0</vt:lpwstr>
  </property>
</Properties>
</file>