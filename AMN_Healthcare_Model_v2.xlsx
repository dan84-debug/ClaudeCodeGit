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x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14" customWidth="1" min="3" max="3"/>
    <col width="14" customWidth="1" min="4" max="4"/>
    <col width="14" customWidth="1" min="5" max="5"/>
    <col width="14" customWidth="1" min="6" max="6"/>
    <col width="3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B1" s="1" t="inlineStr">
        <is>
          <t>AMN Healthcare Services Inc (AMN) - Financial Model</t>
        </is>
      </c>
    </row>
    <row r="3">
      <c r="A3" t="inlineStr">
        <is>
          <t>x</t>
        </is>
      </c>
      <c r="B3" s="2" t="inlineStr">
        <is>
          <t>INCOME STATEMENT - In Thousands USD</t>
        </is>
      </c>
      <c r="C3" s="2" t="inlineStr">
        <is>
          <t>FY 2021</t>
        </is>
      </c>
      <c r="D3" s="2" t="inlineStr">
        <is>
          <t>FY 2022</t>
        </is>
      </c>
      <c r="E3" s="2" t="inlineStr">
        <is>
          <t>FY 2023</t>
        </is>
      </c>
      <c r="F3" s="2" t="inlineStr">
        <is>
          <t>FY 2024</t>
        </is>
      </c>
      <c r="G3" t="inlineStr"/>
      <c r="H3" s="2" t="inlineStr">
        <is>
          <t>Q1 2024</t>
        </is>
      </c>
      <c r="I3" s="2" t="inlineStr">
        <is>
          <t>Q2 2024</t>
        </is>
      </c>
      <c r="J3" s="2" t="inlineStr">
        <is>
          <t>Q3 2024</t>
        </is>
      </c>
      <c r="K3" s="2" t="inlineStr">
        <is>
          <t>Q4 2024</t>
        </is>
      </c>
    </row>
    <row r="4">
      <c r="B4" t="inlineStr">
        <is>
          <t>Period Ending</t>
        </is>
      </c>
      <c r="C4" t="inlineStr">
        <is>
          <t>12/31/2021</t>
        </is>
      </c>
      <c r="D4" t="inlineStr">
        <is>
          <t>12/31/2022</t>
        </is>
      </c>
      <c r="E4" t="inlineStr">
        <is>
          <t>12/31/2023</t>
        </is>
      </c>
      <c r="F4" t="inlineStr">
        <is>
          <t>12/31/2024</t>
        </is>
      </c>
      <c r="H4" t="inlineStr">
        <is>
          <t>3/31/2024</t>
        </is>
      </c>
      <c r="I4" t="inlineStr">
        <is>
          <t>6/30/2024</t>
        </is>
      </c>
      <c r="J4" t="inlineStr">
        <is>
          <t>9/30/2024</t>
        </is>
      </c>
      <c r="K4" t="inlineStr">
        <is>
          <t>12/31/2024</t>
        </is>
      </c>
    </row>
    <row r="5">
      <c r="B5" s="3" t="inlineStr">
        <is>
          <t>Revenue</t>
        </is>
      </c>
      <c r="C5" s="4" t="n">
        <v>3984235</v>
      </c>
      <c r="D5" s="4" t="n">
        <v>5243242</v>
      </c>
      <c r="E5" s="4" t="n">
        <v>3789254</v>
      </c>
      <c r="F5" s="4" t="n">
        <v>2983781</v>
      </c>
      <c r="H5" s="4" t="n">
        <v>820878</v>
      </c>
      <c r="I5" s="4" t="n">
        <v>740685</v>
      </c>
      <c r="J5" s="4" t="n">
        <v>687509</v>
      </c>
      <c r="K5" s="4" t="n">
        <v>734709</v>
      </c>
    </row>
    <row r="6">
      <c r="B6" t="inlineStr">
        <is>
          <t>- Cost of Revenue</t>
        </is>
      </c>
      <c r="C6" s="4" t="n">
        <v>2674634</v>
      </c>
      <c r="D6" s="4" t="n">
        <v>3526558</v>
      </c>
      <c r="E6" s="4" t="n">
        <v>2539673</v>
      </c>
      <c r="F6" s="4" t="n">
        <v>2064405</v>
      </c>
      <c r="H6" s="4" t="n">
        <v>563372</v>
      </c>
      <c r="I6" s="4" t="n">
        <v>510858</v>
      </c>
      <c r="J6" s="4" t="n">
        <v>474454</v>
      </c>
      <c r="K6" s="4" t="n">
        <v>515721</v>
      </c>
    </row>
    <row r="7">
      <c r="B7" s="3" t="inlineStr">
        <is>
          <t>Gross Profit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H7" s="4">
        <f>H5-H6</f>
        <v/>
      </c>
      <c r="I7" s="4">
        <f>I5-I6</f>
        <v/>
      </c>
      <c r="J7" s="4">
        <f>J5-J6</f>
        <v/>
      </c>
      <c r="K7" s="4">
        <f>K5-K6</f>
        <v/>
      </c>
    </row>
    <row r="8">
      <c r="B8" t="inlineStr">
        <is>
          <t>- SG&amp;A Expenses</t>
        </is>
      </c>
      <c r="C8" s="4" t="n">
        <v>730451</v>
      </c>
      <c r="D8" s="4" t="n">
        <v>936576</v>
      </c>
      <c r="E8" s="4" t="n">
        <v>756238</v>
      </c>
      <c r="F8" s="4" t="n">
        <v>632489</v>
      </c>
      <c r="H8" s="4" t="n">
        <v>174842</v>
      </c>
      <c r="I8" s="4" t="n">
        <v>149044</v>
      </c>
      <c r="J8" s="4" t="n">
        <v>149681</v>
      </c>
      <c r="K8" s="4" t="n">
        <v>158922</v>
      </c>
    </row>
    <row r="9">
      <c r="B9" t="inlineStr">
        <is>
          <t>- Depreciation &amp; Amortization</t>
        </is>
      </c>
      <c r="C9" s="4" t="n">
        <v>101152</v>
      </c>
      <c r="D9" s="4" t="n">
        <v>133007</v>
      </c>
      <c r="E9" s="4" t="n">
        <v>154914</v>
      </c>
      <c r="F9" s="4" t="n">
        <v>167103</v>
      </c>
      <c r="H9" s="4" t="n">
        <v>42719</v>
      </c>
      <c r="I9" s="4" t="n">
        <v>43101</v>
      </c>
      <c r="J9" s="4" t="n">
        <v>41122</v>
      </c>
      <c r="K9" s="4" t="n">
        <v>40161</v>
      </c>
    </row>
    <row r="10">
      <c r="B10" t="inlineStr">
        <is>
          <t>- Goodwill Impairment</t>
        </is>
      </c>
      <c r="C10" s="4" t="n">
        <v>0</v>
      </c>
      <c r="D10" s="4" t="n">
        <v>0</v>
      </c>
      <c r="E10" s="4" t="n">
        <v>0</v>
      </c>
      <c r="F10" s="4" t="n">
        <v>222457</v>
      </c>
      <c r="H10" s="4" t="n">
        <v>0</v>
      </c>
      <c r="I10" s="4" t="n">
        <v>0</v>
      </c>
      <c r="J10" s="4" t="n">
        <v>0</v>
      </c>
      <c r="K10" s="4" t="n">
        <v>222457</v>
      </c>
    </row>
    <row r="11">
      <c r="B11" s="3" t="inlineStr">
        <is>
          <t>Operating Income (Loss)</t>
        </is>
      </c>
      <c r="C11" s="4">
        <f>C7-C8-C9-C10</f>
        <v/>
      </c>
      <c r="D11" s="4">
        <f>D7-D8-D9-D10</f>
        <v/>
      </c>
      <c r="E11" s="4">
        <f>E7-E8-E9-E10</f>
        <v/>
      </c>
      <c r="F11" s="4">
        <f>F7-F8-F9-F10</f>
        <v/>
      </c>
      <c r="H11" s="4">
        <f>H7-H8-H9-H10</f>
        <v/>
      </c>
      <c r="I11" s="4">
        <f>I7-I8-I9-I10</f>
        <v/>
      </c>
      <c r="J11" s="4">
        <f>J7-J8-J9-J10</f>
        <v/>
      </c>
      <c r="K11" s="4">
        <f>K7-K8-K9-K10</f>
        <v/>
      </c>
    </row>
    <row r="12">
      <c r="B12" t="inlineStr">
        <is>
          <t>- Interest Expense, net</t>
        </is>
      </c>
      <c r="C12" s="4" t="n">
        <v>34077</v>
      </c>
      <c r="D12" s="4" t="n">
        <v>40398</v>
      </c>
      <c r="E12" s="4" t="n">
        <v>54140</v>
      </c>
      <c r="F12" s="4" t="n">
        <v>69901</v>
      </c>
      <c r="H12" s="4" t="n">
        <v>16628</v>
      </c>
      <c r="I12" s="4" t="n">
        <v>15715</v>
      </c>
      <c r="J12" s="4" t="n">
        <v>14444</v>
      </c>
      <c r="K12" s="4" t="n">
        <v>23114</v>
      </c>
    </row>
    <row r="13">
      <c r="B13" s="3" t="inlineStr">
        <is>
          <t>Pretax Income (Loss)</t>
        </is>
      </c>
      <c r="C13" s="4">
        <f>C11-C12</f>
        <v/>
      </c>
      <c r="D13" s="4">
        <f>D11-D12</f>
        <v/>
      </c>
      <c r="E13" s="4">
        <f>E11-E12</f>
        <v/>
      </c>
      <c r="F13" s="4">
        <f>F11-F12</f>
        <v/>
      </c>
      <c r="H13" s="4">
        <f>H11-H12</f>
        <v/>
      </c>
      <c r="I13" s="4">
        <f>I11-I12</f>
        <v/>
      </c>
      <c r="J13" s="4">
        <f>J11-J12</f>
        <v/>
      </c>
      <c r="K13" s="4">
        <f>K11-K12</f>
        <v/>
      </c>
    </row>
    <row r="14">
      <c r="B14" t="inlineStr">
        <is>
          <t>- Income Tax Expense (Benefit)</t>
        </is>
      </c>
      <c r="C14" s="4" t="n">
        <v>116533</v>
      </c>
      <c r="D14" s="4" t="n">
        <v>162653</v>
      </c>
      <c r="E14" s="4" t="n">
        <v>73610</v>
      </c>
      <c r="F14" s="4" t="n">
        <v>-25595</v>
      </c>
      <c r="H14" s="4" t="n">
        <v>5989</v>
      </c>
      <c r="I14" s="4" t="n">
        <v>5730</v>
      </c>
      <c r="J14" s="4" t="n">
        <v>819</v>
      </c>
      <c r="K14" s="4" t="n">
        <v>-38133</v>
      </c>
    </row>
    <row r="15">
      <c r="B15" s="3" t="inlineStr">
        <is>
          <t>Net Income (Loss)</t>
        </is>
      </c>
      <c r="C15" s="4">
        <f>C13-C14</f>
        <v/>
      </c>
      <c r="D15" s="4">
        <f>D13-D14</f>
        <v/>
      </c>
      <c r="E15" s="4">
        <f>E13-E14</f>
        <v/>
      </c>
      <c r="F15" s="4">
        <f>F13-F14</f>
        <v/>
      </c>
      <c r="H15" s="4">
        <f>H13-H14</f>
        <v/>
      </c>
      <c r="I15" s="4">
        <f>I13-I14</f>
        <v/>
      </c>
      <c r="J15" s="4">
        <f>J13-J14</f>
        <v/>
      </c>
      <c r="K15" s="4">
        <f>K13-K14</f>
        <v/>
      </c>
    </row>
    <row r="17">
      <c r="B17" s="2" t="inlineStr">
        <is>
          <t>Reference Items</t>
        </is>
      </c>
    </row>
    <row r="18">
      <c r="B18" t="inlineStr">
        <is>
          <t>EBITDA</t>
        </is>
      </c>
      <c r="C18" s="4">
        <f>C11+C9+C10</f>
        <v/>
      </c>
      <c r="D18" s="4">
        <f>D11+D9+D10</f>
        <v/>
      </c>
      <c r="E18" s="4">
        <f>E11+E9+E10</f>
        <v/>
      </c>
      <c r="F18" s="4">
        <f>F11+F9+F10</f>
        <v/>
      </c>
      <c r="H18" s="4">
        <f>H11+H9+H10</f>
        <v/>
      </c>
      <c r="I18" s="4">
        <f>I11+I9+I10</f>
        <v/>
      </c>
      <c r="J18" s="4">
        <f>J11+J9+J10</f>
        <v/>
      </c>
      <c r="K18" s="4">
        <f>K11+K9+K10</f>
        <v/>
      </c>
    </row>
    <row r="19">
      <c r="B19" t="inlineStr">
        <is>
          <t>Gross Margin</t>
        </is>
      </c>
      <c r="C19" s="5">
        <f>C7/C5</f>
        <v/>
      </c>
      <c r="D19" s="5">
        <f>D7/D5</f>
        <v/>
      </c>
      <c r="E19" s="5">
        <f>E7/E5</f>
        <v/>
      </c>
      <c r="F19" s="5">
        <f>F7/F5</f>
        <v/>
      </c>
      <c r="H19" s="5">
        <f>H7/H5</f>
        <v/>
      </c>
      <c r="I19" s="5">
        <f>I7/I5</f>
        <v/>
      </c>
      <c r="J19" s="5">
        <f>J7/J5</f>
        <v/>
      </c>
      <c r="K19" s="5">
        <f>K7/K5</f>
        <v/>
      </c>
    </row>
    <row r="20">
      <c r="B20" t="inlineStr">
        <is>
          <t>Operating Margin</t>
        </is>
      </c>
      <c r="C20" s="5">
        <f>C11/C5</f>
        <v/>
      </c>
      <c r="D20" s="5">
        <f>D11/D5</f>
        <v/>
      </c>
      <c r="E20" s="5">
        <f>E11/E5</f>
        <v/>
      </c>
      <c r="F20" s="5">
        <f>F11/F5</f>
        <v/>
      </c>
      <c r="H20" s="5">
        <f>H11/H5</f>
        <v/>
      </c>
      <c r="I20" s="5">
        <f>I11/I5</f>
        <v/>
      </c>
      <c r="J20" s="5">
        <f>J11/J5</f>
        <v/>
      </c>
      <c r="K20" s="5">
        <f>K11/K5</f>
        <v/>
      </c>
    </row>
    <row r="21">
      <c r="B21" t="inlineStr">
        <is>
          <t>Net Profit Margin</t>
        </is>
      </c>
      <c r="C21" s="5">
        <f>C15/C5</f>
        <v/>
      </c>
      <c r="D21" s="5">
        <f>D15/D5</f>
        <v/>
      </c>
      <c r="E21" s="5">
        <f>E15/E5</f>
        <v/>
      </c>
      <c r="F21" s="5">
        <f>F15/F5</f>
        <v/>
      </c>
      <c r="H21" s="5">
        <f>H15/H5</f>
        <v/>
      </c>
      <c r="I21" s="5">
        <f>I15/I5</f>
        <v/>
      </c>
      <c r="J21" s="5">
        <f>J15/J5</f>
        <v/>
      </c>
      <c r="K21" s="5">
        <f>K15/K5</f>
        <v/>
      </c>
    </row>
    <row r="24">
      <c r="A24" t="inlineStr">
        <is>
          <t>x</t>
        </is>
      </c>
      <c r="B24" s="2" t="inlineStr">
        <is>
          <t>BALANCE SHEET - In Thousands of USD</t>
        </is>
      </c>
      <c r="C24" s="2" t="inlineStr">
        <is>
          <t>FY 2021</t>
        </is>
      </c>
      <c r="D24" s="2" t="inlineStr">
        <is>
          <t>FY 2022</t>
        </is>
      </c>
      <c r="E24" s="2" t="inlineStr">
        <is>
          <t>FY 2023</t>
        </is>
      </c>
      <c r="F24" s="2" t="inlineStr">
        <is>
          <t>FY 2024</t>
        </is>
      </c>
      <c r="H24" s="2" t="inlineStr">
        <is>
          <t>Q1 2024</t>
        </is>
      </c>
      <c r="I24" s="2" t="inlineStr">
        <is>
          <t>Q2 2024</t>
        </is>
      </c>
      <c r="J24" s="2" t="inlineStr">
        <is>
          <t>Q3 2024</t>
        </is>
      </c>
      <c r="K24" s="2" t="inlineStr">
        <is>
          <t>Q4 2024</t>
        </is>
      </c>
    </row>
    <row r="25">
      <c r="B25" t="inlineStr">
        <is>
          <t>Period Ending</t>
        </is>
      </c>
      <c r="C25" t="inlineStr">
        <is>
          <t>12/31/2021</t>
        </is>
      </c>
      <c r="D25" t="inlineStr">
        <is>
          <t>12/31/2022</t>
        </is>
      </c>
      <c r="E25" t="inlineStr">
        <is>
          <t>12/31/2023</t>
        </is>
      </c>
      <c r="F25" t="inlineStr">
        <is>
          <t>12/31/2024</t>
        </is>
      </c>
      <c r="H25" t="inlineStr">
        <is>
          <t>3/31/2024</t>
        </is>
      </c>
      <c r="I25" t="inlineStr">
        <is>
          <t>6/30/2024</t>
        </is>
      </c>
      <c r="J25" t="inlineStr">
        <is>
          <t>9/30/2024</t>
        </is>
      </c>
      <c r="K25" t="inlineStr">
        <is>
          <t>12/31/2024</t>
        </is>
      </c>
    </row>
    <row r="26">
      <c r="B26" s="2" t="inlineStr">
        <is>
          <t>ASSETS</t>
        </is>
      </c>
    </row>
    <row r="27">
      <c r="B27" t="inlineStr">
        <is>
          <t>+ Cash and Cash Equivalents</t>
        </is>
      </c>
      <c r="C27" s="4" t="n">
        <v>180928</v>
      </c>
      <c r="D27" s="4" t="n">
        <v>64524</v>
      </c>
      <c r="E27" s="4" t="n">
        <v>32935</v>
      </c>
      <c r="F27" s="4" t="n">
        <v>10649</v>
      </c>
      <c r="H27" s="4" t="n">
        <v>50560</v>
      </c>
      <c r="I27" s="4" t="n">
        <v>48038</v>
      </c>
      <c r="J27" s="4" t="n">
        <v>30550</v>
      </c>
      <c r="K27" s="4" t="n">
        <v>10649</v>
      </c>
    </row>
    <row r="28">
      <c r="B28" t="inlineStr">
        <is>
          <t>+ Accounts Receivable, net</t>
        </is>
      </c>
      <c r="C28" s="4" t="n">
        <v>789131</v>
      </c>
      <c r="D28" s="4" t="n">
        <v>675650</v>
      </c>
      <c r="E28" s="4" t="n">
        <v>623488</v>
      </c>
      <c r="F28" s="4" t="n">
        <v>437817</v>
      </c>
      <c r="H28" s="4" t="n">
        <v>578647</v>
      </c>
      <c r="I28" s="4" t="n">
        <v>508913</v>
      </c>
      <c r="J28" s="4" t="n">
        <v>451062</v>
      </c>
      <c r="K28" s="4" t="n">
        <v>437817</v>
      </c>
    </row>
    <row r="29">
      <c r="B29" t="inlineStr">
        <is>
          <t>+ Subcontractor Receivables</t>
        </is>
      </c>
      <c r="C29" s="4" t="n">
        <v>239719</v>
      </c>
      <c r="D29" s="4" t="n">
        <v>268726</v>
      </c>
      <c r="E29" s="4" t="n">
        <v>117703</v>
      </c>
      <c r="F29" s="4" t="n">
        <v>70481</v>
      </c>
      <c r="H29" s="4" t="n">
        <v>97516</v>
      </c>
      <c r="I29" s="4" t="n">
        <v>81296</v>
      </c>
      <c r="J29" s="4" t="n">
        <v>68566</v>
      </c>
      <c r="K29" s="4" t="n">
        <v>70481</v>
      </c>
    </row>
    <row r="30">
      <c r="B30" t="inlineStr">
        <is>
          <t>+ Prepaid &amp; Other Current</t>
        </is>
      </c>
      <c r="C30" s="4" t="n">
        <v>139290</v>
      </c>
      <c r="D30" s="4" t="n">
        <v>84745</v>
      </c>
      <c r="E30" s="4" t="n">
        <v>67559</v>
      </c>
      <c r="F30" s="4" t="n">
        <v>75968</v>
      </c>
      <c r="H30" s="4" t="n">
        <v>64023</v>
      </c>
      <c r="I30" s="4" t="n">
        <v>66510</v>
      </c>
      <c r="J30" s="4" t="n">
        <v>62088</v>
      </c>
      <c r="K30" s="4" t="n">
        <v>75968</v>
      </c>
    </row>
    <row r="31">
      <c r="B31" s="3" t="inlineStr">
        <is>
          <t>Total Current Assets</t>
        </is>
      </c>
      <c r="C31" s="4">
        <f>C27+C28+C29+C30</f>
        <v/>
      </c>
      <c r="D31" s="4">
        <f>D27+D28+D29+D30</f>
        <v/>
      </c>
      <c r="E31" s="4">
        <f>E27+E28+E29+E30</f>
        <v/>
      </c>
      <c r="F31" s="4">
        <f>F27+F28+F29+F30</f>
        <v/>
      </c>
      <c r="H31" s="4">
        <f>H27+H28+H29+H30</f>
        <v/>
      </c>
      <c r="I31" s="4">
        <f>I27+I28+I29+I30</f>
        <v/>
      </c>
      <c r="J31" s="4">
        <f>J27+J28+J29+J30</f>
        <v/>
      </c>
      <c r="K31" s="4">
        <f>K27+K28+K29+K30</f>
        <v/>
      </c>
    </row>
    <row r="32">
      <c r="B32" t="inlineStr">
        <is>
          <t>+ Restricted Cash &amp; Investments</t>
        </is>
      </c>
      <c r="C32" s="4" t="n">
        <v>64482</v>
      </c>
      <c r="D32" s="4" t="n">
        <v>61218</v>
      </c>
      <c r="E32" s="4" t="n">
        <v>68845</v>
      </c>
      <c r="F32" s="4" t="n">
        <v>71840</v>
      </c>
      <c r="H32" s="4" t="n">
        <v>71912</v>
      </c>
      <c r="I32" s="4" t="n">
        <v>71749</v>
      </c>
      <c r="J32" s="4" t="n">
        <v>72167</v>
      </c>
      <c r="K32" s="4" t="n">
        <v>71840</v>
      </c>
    </row>
    <row r="33">
      <c r="B33" t="inlineStr">
        <is>
          <t>+ Fixed Assets, net</t>
        </is>
      </c>
      <c r="C33" s="4" t="n">
        <v>127114</v>
      </c>
      <c r="D33" s="4" t="n">
        <v>149276</v>
      </c>
      <c r="E33" s="4" t="n">
        <v>191385</v>
      </c>
      <c r="F33" s="4" t="n">
        <v>186270</v>
      </c>
      <c r="H33" s="4" t="n">
        <v>194537</v>
      </c>
      <c r="I33" s="4" t="n">
        <v>197059</v>
      </c>
      <c r="J33" s="4" t="n">
        <v>196902</v>
      </c>
      <c r="K33" s="4" t="n">
        <v>186270</v>
      </c>
    </row>
    <row r="34">
      <c r="B34" t="inlineStr">
        <is>
          <t>+ Other Assets</t>
        </is>
      </c>
      <c r="C34" s="4" t="n">
        <v>156670</v>
      </c>
      <c r="D34" s="4" t="n">
        <v>172016</v>
      </c>
      <c r="E34" s="4" t="n">
        <v>236796</v>
      </c>
      <c r="F34" s="4" t="n">
        <v>258053</v>
      </c>
      <c r="H34" s="4" t="n">
        <v>252397</v>
      </c>
      <c r="I34" s="4" t="n">
        <v>256951</v>
      </c>
      <c r="J34" s="4" t="n">
        <v>267266</v>
      </c>
      <c r="K34" s="4" t="n">
        <v>258053</v>
      </c>
    </row>
    <row r="35">
      <c r="B35" t="inlineStr">
        <is>
          <t>+ Deferred Tax Assets</t>
        </is>
      </c>
      <c r="C35" s="4" t="n">
        <v>0</v>
      </c>
      <c r="D35" s="4" t="n">
        <v>0</v>
      </c>
      <c r="E35" s="4" t="n">
        <v>0</v>
      </c>
      <c r="F35" s="4" t="n">
        <v>25829</v>
      </c>
      <c r="H35" s="4" t="n">
        <v>0</v>
      </c>
      <c r="I35" s="4" t="n">
        <v>0</v>
      </c>
      <c r="J35" s="4" t="n">
        <v>0</v>
      </c>
      <c r="K35" s="4" t="n">
        <v>25829</v>
      </c>
    </row>
    <row r="36">
      <c r="B36" t="inlineStr">
        <is>
          <t>+ Goodwill</t>
        </is>
      </c>
      <c r="C36" s="4" t="n">
        <v>892341</v>
      </c>
      <c r="D36" s="4" t="n">
        <v>935364</v>
      </c>
      <c r="E36" s="4" t="n">
        <v>1111549</v>
      </c>
      <c r="F36" s="4" t="n">
        <v>897456</v>
      </c>
      <c r="H36" s="4" t="n">
        <v>1114757</v>
      </c>
      <c r="I36" s="4" t="n">
        <v>1116307</v>
      </c>
      <c r="J36" s="4" t="n">
        <v>1116815</v>
      </c>
      <c r="K36" s="4" t="n">
        <v>897456</v>
      </c>
    </row>
    <row r="37">
      <c r="B37" t="inlineStr">
        <is>
          <t>+ Intangible Assets, net</t>
        </is>
      </c>
      <c r="C37" s="4" t="n">
        <v>514460</v>
      </c>
      <c r="D37" s="4" t="n">
        <v>476832</v>
      </c>
      <c r="E37" s="4" t="n">
        <v>474134</v>
      </c>
      <c r="F37" s="4" t="n">
        <v>381364</v>
      </c>
      <c r="H37" s="4" t="n">
        <v>449248</v>
      </c>
      <c r="I37" s="4" t="n">
        <v>424504</v>
      </c>
      <c r="J37" s="4" t="n">
        <v>402400</v>
      </c>
      <c r="K37" s="4" t="n">
        <v>381364</v>
      </c>
    </row>
    <row r="38">
      <c r="B38" s="3" t="inlineStr">
        <is>
          <t>Total Assets</t>
        </is>
      </c>
      <c r="C38" s="4">
        <f>C31+C32+C33+C34+C35+C36+C37</f>
        <v/>
      </c>
      <c r="D38" s="4">
        <f>D31+D32+D33+D34+D35+D36+D37</f>
        <v/>
      </c>
      <c r="E38" s="4">
        <f>E31+E32+E33+E34+E35+E36+E37</f>
        <v/>
      </c>
      <c r="F38" s="4">
        <f>F31+F32+F33+F34+F35+F36+F37</f>
        <v/>
      </c>
      <c r="H38" s="4">
        <f>H31+H32+H33+H34+H35+H36+H37</f>
        <v/>
      </c>
      <c r="I38" s="4">
        <f>I31+I32+I33+I34+I35+I36+I37</f>
        <v/>
      </c>
      <c r="J38" s="4">
        <f>J31+J32+J33+J34+J35+J36+J37</f>
        <v/>
      </c>
      <c r="K38" s="4">
        <f>K31+K32+K33+K34+K35+K36+K37</f>
        <v/>
      </c>
    </row>
    <row r="40">
      <c r="B40" s="2" t="inlineStr">
        <is>
          <t>LIABILITIES &amp; SHAREHOLDERS' EQUITY</t>
        </is>
      </c>
    </row>
    <row r="41">
      <c r="B41" t="inlineStr">
        <is>
          <t>+ Accounts Payable &amp; Accrued</t>
        </is>
      </c>
      <c r="C41" s="4" t="n">
        <v>425257</v>
      </c>
      <c r="D41" s="4" t="n">
        <v>476452</v>
      </c>
      <c r="E41" s="4" t="n">
        <v>343847</v>
      </c>
      <c r="F41" s="4" t="n">
        <v>184311</v>
      </c>
      <c r="H41" s="4" t="n">
        <v>316016</v>
      </c>
      <c r="I41" s="4" t="n">
        <v>283176</v>
      </c>
      <c r="J41" s="4" t="n">
        <v>213206</v>
      </c>
      <c r="K41" s="4" t="n">
        <v>184311</v>
      </c>
    </row>
    <row r="42">
      <c r="B42" t="inlineStr">
        <is>
          <t>+ Accrued Compensation &amp; Benefits</t>
        </is>
      </c>
      <c r="C42" s="4" t="n">
        <v>354381</v>
      </c>
      <c r="D42" s="4" t="n">
        <v>333244</v>
      </c>
      <c r="E42" s="4" t="n">
        <v>278536</v>
      </c>
      <c r="F42" s="4" t="n">
        <v>287544</v>
      </c>
      <c r="H42" s="4" t="n">
        <v>280513</v>
      </c>
      <c r="I42" s="4" t="n">
        <v>268354</v>
      </c>
      <c r="J42" s="4" t="n">
        <v>281683</v>
      </c>
      <c r="K42" s="4" t="n">
        <v>287544</v>
      </c>
    </row>
    <row r="43">
      <c r="B43" t="inlineStr">
        <is>
          <t>+ Other Current Liabilities</t>
        </is>
      </c>
      <c r="C43" s="4" t="n">
        <v>189752</v>
      </c>
      <c r="D43" s="4" t="n">
        <v>48237</v>
      </c>
      <c r="E43" s="4" t="n">
        <v>33738</v>
      </c>
      <c r="F43" s="4" t="n">
        <v>73930</v>
      </c>
      <c r="H43" s="4" t="n">
        <v>27374</v>
      </c>
      <c r="I43" s="4" t="n">
        <v>22360</v>
      </c>
      <c r="J43" s="4" t="n">
        <v>23657</v>
      </c>
      <c r="K43" s="4" t="n">
        <v>73930</v>
      </c>
    </row>
    <row r="44">
      <c r="B44" s="3" t="inlineStr">
        <is>
          <t>Total Current Liabilities</t>
        </is>
      </c>
      <c r="C44" s="4">
        <f>C41+C42+C43</f>
        <v/>
      </c>
      <c r="D44" s="4">
        <f>D41+D42+D43</f>
        <v/>
      </c>
      <c r="E44" s="4">
        <f>E41+E42+E43</f>
        <v/>
      </c>
      <c r="F44" s="4">
        <f>F41+F42+F43</f>
        <v/>
      </c>
      <c r="H44" s="4">
        <f>H41+H42+H43</f>
        <v/>
      </c>
      <c r="I44" s="4">
        <f>I41+I42+I43</f>
        <v/>
      </c>
      <c r="J44" s="4">
        <f>J41+J42+J43</f>
        <v/>
      </c>
      <c r="K44" s="4">
        <f>K41+K42+K43</f>
        <v/>
      </c>
    </row>
    <row r="45">
      <c r="B45" t="inlineStr">
        <is>
          <t>+ Revolving Credit Facility</t>
        </is>
      </c>
      <c r="C45" s="4" t="n">
        <v>0</v>
      </c>
      <c r="D45" s="4" t="n">
        <v>0</v>
      </c>
      <c r="E45" s="4" t="n">
        <v>460000</v>
      </c>
      <c r="F45" s="4" t="n">
        <v>210000</v>
      </c>
      <c r="H45" s="4" t="n">
        <v>425000</v>
      </c>
      <c r="I45" s="4" t="n">
        <v>345000</v>
      </c>
      <c r="J45" s="4" t="n">
        <v>285000</v>
      </c>
      <c r="K45" s="4" t="n">
        <v>210000</v>
      </c>
    </row>
    <row r="46">
      <c r="B46" t="inlineStr">
        <is>
          <t>+ Notes Payable, net</t>
        </is>
      </c>
      <c r="C46" s="4" t="n">
        <v>842322</v>
      </c>
      <c r="D46" s="4" t="n">
        <v>843505</v>
      </c>
      <c r="E46" s="4" t="n">
        <v>844688</v>
      </c>
      <c r="F46" s="4" t="n">
        <v>845872</v>
      </c>
      <c r="H46" s="4" t="n">
        <v>844984</v>
      </c>
      <c r="I46" s="4" t="n">
        <v>845280</v>
      </c>
      <c r="J46" s="4" t="n">
        <v>845576</v>
      </c>
      <c r="K46" s="4" t="n">
        <v>845872</v>
      </c>
    </row>
    <row r="47">
      <c r="B47" t="inlineStr">
        <is>
          <t>+ Deferred Income Taxes</t>
        </is>
      </c>
      <c r="C47" s="4" t="n">
        <v>47814</v>
      </c>
      <c r="D47" s="4" t="n">
        <v>22713</v>
      </c>
      <c r="E47" s="4" t="n">
        <v>23350</v>
      </c>
      <c r="F47" s="4" t="n">
        <v>0</v>
      </c>
      <c r="H47" s="4" t="n">
        <v>15472</v>
      </c>
      <c r="I47" s="4" t="n">
        <v>20551</v>
      </c>
      <c r="J47" s="4" t="n">
        <v>17270</v>
      </c>
      <c r="K47" s="4" t="n">
        <v>0</v>
      </c>
    </row>
    <row r="48">
      <c r="B48" t="inlineStr">
        <is>
          <t>+ Other Long-term Liabilities</t>
        </is>
      </c>
      <c r="C48" s="4" t="n">
        <v>110353</v>
      </c>
      <c r="D48" s="4" t="n">
        <v>120566</v>
      </c>
      <c r="E48" s="4" t="n">
        <v>108979</v>
      </c>
      <c r="F48" s="4" t="n">
        <v>107450</v>
      </c>
      <c r="H48" s="4" t="n">
        <v>110047</v>
      </c>
      <c r="I48" s="4" t="n">
        <v>109747</v>
      </c>
      <c r="J48" s="4" t="n">
        <v>110759</v>
      </c>
      <c r="K48" s="4" t="n">
        <v>107450</v>
      </c>
    </row>
    <row r="49">
      <c r="B49" s="3" t="inlineStr">
        <is>
          <t>Total Liabilities</t>
        </is>
      </c>
      <c r="C49" s="4">
        <f>C44+C45+C46+C47+C48</f>
        <v/>
      </c>
      <c r="D49" s="4">
        <f>D44+D45+D46+D47+D48</f>
        <v/>
      </c>
      <c r="E49" s="4">
        <f>E44+E45+E46+E47+E48</f>
        <v/>
      </c>
      <c r="F49" s="4">
        <f>F44+F45+F46+F47+F48</f>
        <v/>
      </c>
      <c r="H49" s="4">
        <f>H44+H45+H46+H47+H48</f>
        <v/>
      </c>
      <c r="I49" s="4">
        <f>I44+I45+I46+I47+I48</f>
        <v/>
      </c>
      <c r="J49" s="4">
        <f>J44+J45+J46+J47+J48</f>
        <v/>
      </c>
      <c r="K49" s="4">
        <f>K44+K45+K46+K47+K48</f>
        <v/>
      </c>
    </row>
    <row r="50">
      <c r="B50" s="3" t="inlineStr">
        <is>
          <t>Stockholders' Equity</t>
        </is>
      </c>
      <c r="C50" s="4">
        <f>C38-C49</f>
        <v/>
      </c>
      <c r="D50" s="4">
        <f>D38-D49</f>
        <v/>
      </c>
      <c r="E50" s="4">
        <f>E38-E49</f>
        <v/>
      </c>
      <c r="F50" s="4">
        <f>F38-F49</f>
        <v/>
      </c>
      <c r="H50" s="4">
        <f>H38-H49</f>
        <v/>
      </c>
      <c r="I50" s="4">
        <f>I38-I49</f>
        <v/>
      </c>
      <c r="J50" s="4">
        <f>J38-J49</f>
        <v/>
      </c>
      <c r="K50" s="4">
        <f>K38-K49</f>
        <v/>
      </c>
    </row>
    <row r="51">
      <c r="B51" s="3" t="inlineStr">
        <is>
          <t>Total Liabilities &amp; Equity</t>
        </is>
      </c>
      <c r="C51" s="4">
        <f>C49+C50</f>
        <v/>
      </c>
      <c r="D51" s="4">
        <f>D49+D50</f>
        <v/>
      </c>
      <c r="E51" s="4">
        <f>E49+E50</f>
        <v/>
      </c>
      <c r="F51" s="4">
        <f>F49+F50</f>
        <v/>
      </c>
      <c r="H51" s="4">
        <f>H49+H50</f>
        <v/>
      </c>
      <c r="I51" s="4">
        <f>I49+I50</f>
        <v/>
      </c>
      <c r="J51" s="4">
        <f>J49+J50</f>
        <v/>
      </c>
      <c r="K51" s="4">
        <f>K49+K50</f>
        <v/>
      </c>
    </row>
    <row r="53">
      <c r="B53" t="inlineStr">
        <is>
          <t>Check A=L+E</t>
        </is>
      </c>
      <c r="C53" s="4">
        <f>C38-C51</f>
        <v/>
      </c>
      <c r="D53" s="4">
        <f>D38-D51</f>
        <v/>
      </c>
      <c r="E53" s="4">
        <f>E38-E51</f>
        <v/>
      </c>
      <c r="F53" s="4">
        <f>F38-F51</f>
        <v/>
      </c>
      <c r="H53" s="4">
        <f>H38-H51</f>
        <v/>
      </c>
      <c r="I53" s="4">
        <f>I38-I51</f>
        <v/>
      </c>
      <c r="J53" s="4">
        <f>J38-J51</f>
        <v/>
      </c>
      <c r="K53" s="4">
        <f>K38-K51</f>
        <v/>
      </c>
    </row>
    <row r="56">
      <c r="A56" t="inlineStr">
        <is>
          <t>x</t>
        </is>
      </c>
      <c r="B56" s="2" t="inlineStr">
        <is>
          <t>INTEREST EXPENSE AND DEBT SCHEDULE</t>
        </is>
      </c>
      <c r="C56" s="2" t="inlineStr">
        <is>
          <t>FY 2021</t>
        </is>
      </c>
      <c r="D56" s="2" t="inlineStr">
        <is>
          <t>FY 2022</t>
        </is>
      </c>
      <c r="E56" s="2" t="inlineStr">
        <is>
          <t>FY 2023</t>
        </is>
      </c>
      <c r="F56" s="2" t="inlineStr">
        <is>
          <t>FY 2024</t>
        </is>
      </c>
    </row>
    <row r="57">
      <c r="B57" t="inlineStr">
        <is>
          <t>Interest Expense</t>
        </is>
      </c>
      <c r="C57" s="4">
        <f>C12</f>
        <v/>
      </c>
      <c r="D57" s="4">
        <f>D12</f>
        <v/>
      </c>
      <c r="E57" s="4">
        <f>E12</f>
        <v/>
      </c>
      <c r="F57" s="4">
        <f>F12</f>
        <v/>
      </c>
    </row>
    <row r="58">
      <c r="B58" t="inlineStr">
        <is>
          <t>Total Debt</t>
        </is>
      </c>
      <c r="C58" s="4">
        <f>C45+C46</f>
        <v/>
      </c>
      <c r="D58" s="4">
        <f>D45+D46</f>
        <v/>
      </c>
      <c r="E58" s="4">
        <f>E45+E46</f>
        <v/>
      </c>
      <c r="F58" s="4">
        <f>F45+F46</f>
        <v/>
      </c>
    </row>
    <row r="59">
      <c r="B59" t="inlineStr">
        <is>
          <t>Implied Interest Rate</t>
        </is>
      </c>
      <c r="C59" s="5">
        <f>IF(C58&gt;0,C57/C58,0)</f>
        <v/>
      </c>
      <c r="D59" s="5">
        <f>IF(D58&gt;0,D57/D58,0)</f>
        <v/>
      </c>
      <c r="E59" s="5">
        <f>IF(E58&gt;0,E57/E58,0)</f>
        <v/>
      </c>
      <c r="F59" s="5">
        <f>IF(F58&gt;0,F57/F58,0)</f>
        <v/>
      </c>
    </row>
    <row r="60">
      <c r="B60" t="inlineStr">
        <is>
          <t>Debt / EBITDA</t>
        </is>
      </c>
      <c r="C60" s="6">
        <f>IF(C18&gt;0,C58/C18,0)</f>
        <v/>
      </c>
      <c r="D60" s="6">
        <f>IF(D18&gt;0,D58/D18,0)</f>
        <v/>
      </c>
      <c r="E60" s="6">
        <f>IF(E18&gt;0,E58/E18,0)</f>
        <v/>
      </c>
      <c r="F60" s="6">
        <f>IF(F18&gt;0,F58/F18,0)</f>
        <v/>
      </c>
    </row>
    <row r="63">
      <c r="A63" t="inlineStr">
        <is>
          <t>x</t>
        </is>
      </c>
      <c r="B63" s="2" t="inlineStr">
        <is>
          <t>PPE AND DEPRECIATION SCHEDULE</t>
        </is>
      </c>
      <c r="C63" s="2" t="inlineStr">
        <is>
          <t>FY 2021</t>
        </is>
      </c>
      <c r="D63" s="2" t="inlineStr">
        <is>
          <t>FY 2022</t>
        </is>
      </c>
      <c r="E63" s="2" t="inlineStr">
        <is>
          <t>FY 2023</t>
        </is>
      </c>
      <c r="F63" s="2" t="inlineStr">
        <is>
          <t>FY 2024</t>
        </is>
      </c>
    </row>
    <row r="64">
      <c r="B64" t="inlineStr">
        <is>
          <t>Fixed Assets, net</t>
        </is>
      </c>
      <c r="C64" s="4">
        <f>C33</f>
        <v/>
      </c>
      <c r="D64" s="4">
        <f>D33</f>
        <v/>
      </c>
      <c r="E64" s="4">
        <f>E33</f>
        <v/>
      </c>
      <c r="F64" s="4">
        <f>F33</f>
        <v/>
      </c>
    </row>
    <row r="65">
      <c r="B65" t="inlineStr">
        <is>
          <t>Depreciation &amp; Amortization</t>
        </is>
      </c>
      <c r="C65" s="4">
        <f>C9</f>
        <v/>
      </c>
      <c r="D65" s="4">
        <f>D9</f>
        <v/>
      </c>
      <c r="E65" s="4">
        <f>E9</f>
        <v/>
      </c>
      <c r="F65" s="4">
        <f>F9</f>
        <v/>
      </c>
    </row>
    <row r="66">
      <c r="B66" t="inlineStr">
        <is>
          <t>Revenue</t>
        </is>
      </c>
      <c r="C66" s="4">
        <f>C5</f>
        <v/>
      </c>
      <c r="D66" s="4">
        <f>D5</f>
        <v/>
      </c>
      <c r="E66" s="4">
        <f>E5</f>
        <v/>
      </c>
      <c r="F66" s="4">
        <f>F5</f>
        <v/>
      </c>
    </row>
    <row r="67">
      <c r="B67" t="inlineStr">
        <is>
          <t>D&amp;A / Revenue</t>
        </is>
      </c>
      <c r="C67" s="5">
        <f>C65/C66</f>
        <v/>
      </c>
      <c r="D67" s="5">
        <f>D65/D66</f>
        <v/>
      </c>
      <c r="E67" s="5">
        <f>E65/E66</f>
        <v/>
      </c>
      <c r="F67" s="5">
        <f>F65/F66</f>
        <v/>
      </c>
    </row>
    <row r="68">
      <c r="B68" t="inlineStr">
        <is>
          <t>Fixed Assets / Revenue</t>
        </is>
      </c>
      <c r="C68" s="5">
        <f>C64/C66</f>
        <v/>
      </c>
      <c r="D68" s="5">
        <f>D64/D66</f>
        <v/>
      </c>
      <c r="E68" s="5">
        <f>E64/E66</f>
        <v/>
      </c>
      <c r="F68" s="5">
        <f>F64/F66</f>
        <v/>
      </c>
    </row>
    <row r="71">
      <c r="B71" s="2" t="inlineStr">
        <is>
          <t>COMMON SIZE BALANCE SHEET</t>
        </is>
      </c>
    </row>
    <row r="72">
      <c r="A72" t="inlineStr">
        <is>
          <t>x</t>
        </is>
      </c>
      <c r="B72" s="2" t="inlineStr">
        <is>
          <t>Balance Sheet Items as % of Revenue</t>
        </is>
      </c>
      <c r="C72" s="2" t="inlineStr">
        <is>
          <t>FY 2021</t>
        </is>
      </c>
      <c r="D72" s="2" t="inlineStr">
        <is>
          <t>FY 2022</t>
        </is>
      </c>
      <c r="E72" s="2" t="inlineStr">
        <is>
          <t>FY 2023</t>
        </is>
      </c>
      <c r="F72" s="2" t="inlineStr">
        <is>
          <t>FY 2024</t>
        </is>
      </c>
    </row>
    <row r="73">
      <c r="B73" s="2" t="inlineStr">
        <is>
          <t>ASSETS</t>
        </is>
      </c>
    </row>
    <row r="74">
      <c r="B74" t="inlineStr">
        <is>
          <t>+ Cash and Cash Equivalents</t>
        </is>
      </c>
      <c r="C74" s="5">
        <f>C27/C5</f>
        <v/>
      </c>
      <c r="D74" s="5">
        <f>D27/D5</f>
        <v/>
      </c>
      <c r="E74" s="5">
        <f>E27/E5</f>
        <v/>
      </c>
      <c r="F74" s="5">
        <f>F27/F5</f>
        <v/>
      </c>
    </row>
    <row r="75">
      <c r="B75" t="inlineStr">
        <is>
          <t>+ Accounts Receivable, net</t>
        </is>
      </c>
      <c r="C75" s="5">
        <f>C28/C5</f>
        <v/>
      </c>
      <c r="D75" s="5">
        <f>D28/D5</f>
        <v/>
      </c>
      <c r="E75" s="5">
        <f>E28/E5</f>
        <v/>
      </c>
      <c r="F75" s="5">
        <f>F28/F5</f>
        <v/>
      </c>
    </row>
    <row r="76">
      <c r="B76" t="inlineStr">
        <is>
          <t>+ Subcontractor Receivables</t>
        </is>
      </c>
      <c r="C76" s="5">
        <f>C29/C5</f>
        <v/>
      </c>
      <c r="D76" s="5">
        <f>D29/D5</f>
        <v/>
      </c>
      <c r="E76" s="5">
        <f>E29/E5</f>
        <v/>
      </c>
      <c r="F76" s="5">
        <f>F29/F5</f>
        <v/>
      </c>
    </row>
    <row r="77">
      <c r="B77" t="inlineStr">
        <is>
          <t>+ Prepaid &amp; Other Current</t>
        </is>
      </c>
      <c r="C77" s="5">
        <f>C30/C5</f>
        <v/>
      </c>
      <c r="D77" s="5">
        <f>D30/D5</f>
        <v/>
      </c>
      <c r="E77" s="5">
        <f>E30/E5</f>
        <v/>
      </c>
      <c r="F77" s="5">
        <f>F30/F5</f>
        <v/>
      </c>
    </row>
    <row r="78">
      <c r="B78" s="3" t="inlineStr">
        <is>
          <t>Total Current Assets</t>
        </is>
      </c>
      <c r="C78" s="5">
        <f>C31/C5</f>
        <v/>
      </c>
      <c r="D78" s="5">
        <f>D31/D5</f>
        <v/>
      </c>
      <c r="E78" s="5">
        <f>E31/E5</f>
        <v/>
      </c>
      <c r="F78" s="5">
        <f>F31/F5</f>
        <v/>
      </c>
    </row>
    <row r="79">
      <c r="B79" t="inlineStr">
        <is>
          <t>+ Restricted Cash &amp; Investments</t>
        </is>
      </c>
      <c r="C79" s="5">
        <f>C32/C5</f>
        <v/>
      </c>
      <c r="D79" s="5">
        <f>D32/D5</f>
        <v/>
      </c>
      <c r="E79" s="5">
        <f>E32/E5</f>
        <v/>
      </c>
      <c r="F79" s="5">
        <f>F32/F5</f>
        <v/>
      </c>
    </row>
    <row r="80">
      <c r="B80" t="inlineStr">
        <is>
          <t>+ Fixed Assets, net</t>
        </is>
      </c>
      <c r="C80" s="5">
        <f>C33/C5</f>
        <v/>
      </c>
      <c r="D80" s="5">
        <f>D33/D5</f>
        <v/>
      </c>
      <c r="E80" s="5">
        <f>E33/E5</f>
        <v/>
      </c>
      <c r="F80" s="5">
        <f>F33/F5</f>
        <v/>
      </c>
    </row>
    <row r="81">
      <c r="B81" t="inlineStr">
        <is>
          <t>+ Other Assets</t>
        </is>
      </c>
      <c r="C81" s="5">
        <f>C34/C5</f>
        <v/>
      </c>
      <c r="D81" s="5">
        <f>D34/D5</f>
        <v/>
      </c>
      <c r="E81" s="5">
        <f>E34/E5</f>
        <v/>
      </c>
      <c r="F81" s="5">
        <f>F34/F5</f>
        <v/>
      </c>
    </row>
    <row r="82">
      <c r="B82" t="inlineStr">
        <is>
          <t>+ Deferred Tax Assets</t>
        </is>
      </c>
      <c r="C82" s="5">
        <f>C35/C5</f>
        <v/>
      </c>
      <c r="D82" s="5">
        <f>D35/D5</f>
        <v/>
      </c>
      <c r="E82" s="5">
        <f>E35/E5</f>
        <v/>
      </c>
      <c r="F82" s="5">
        <f>F35/F5</f>
        <v/>
      </c>
    </row>
    <row r="83">
      <c r="B83" t="inlineStr">
        <is>
          <t>+ Goodwill</t>
        </is>
      </c>
      <c r="C83" s="5">
        <f>C36/C5</f>
        <v/>
      </c>
      <c r="D83" s="5">
        <f>D36/D5</f>
        <v/>
      </c>
      <c r="E83" s="5">
        <f>E36/E5</f>
        <v/>
      </c>
      <c r="F83" s="5">
        <f>F36/F5</f>
        <v/>
      </c>
    </row>
    <row r="84">
      <c r="B84" t="inlineStr">
        <is>
          <t>+ Intangible Assets, net</t>
        </is>
      </c>
      <c r="C84" s="5">
        <f>C37/C5</f>
        <v/>
      </c>
      <c r="D84" s="5">
        <f>D37/D5</f>
        <v/>
      </c>
      <c r="E84" s="5">
        <f>E37/E5</f>
        <v/>
      </c>
      <c r="F84" s="5">
        <f>F37/F5</f>
        <v/>
      </c>
    </row>
    <row r="85">
      <c r="B85" s="3" t="inlineStr">
        <is>
          <t>Total Assets</t>
        </is>
      </c>
      <c r="C85" s="5">
        <f>C38/C5</f>
        <v/>
      </c>
      <c r="D85" s="5">
        <f>D38/D5</f>
        <v/>
      </c>
      <c r="E85" s="5">
        <f>E38/E5</f>
        <v/>
      </c>
      <c r="F85" s="5">
        <f>F38/F5</f>
        <v/>
      </c>
    </row>
    <row r="87">
      <c r="B87" s="2" t="inlineStr">
        <is>
          <t>LIABILITIES &amp; EQUITY</t>
        </is>
      </c>
    </row>
    <row r="88">
      <c r="B88" t="inlineStr">
        <is>
          <t>+ Accounts Payable &amp; Accrued</t>
        </is>
      </c>
      <c r="C88" s="5">
        <f>C41/C5</f>
        <v/>
      </c>
      <c r="D88" s="5">
        <f>D41/D5</f>
        <v/>
      </c>
      <c r="E88" s="5">
        <f>E41/E5</f>
        <v/>
      </c>
      <c r="F88" s="5">
        <f>F41/F5</f>
        <v/>
      </c>
    </row>
    <row r="89">
      <c r="B89" t="inlineStr">
        <is>
          <t>+ Accrued Compensation &amp; Benefits</t>
        </is>
      </c>
      <c r="C89" s="5">
        <f>C42/C5</f>
        <v/>
      </c>
      <c r="D89" s="5">
        <f>D42/D5</f>
        <v/>
      </c>
      <c r="E89" s="5">
        <f>E42/E5</f>
        <v/>
      </c>
      <c r="F89" s="5">
        <f>F42/F5</f>
        <v/>
      </c>
    </row>
    <row r="90">
      <c r="B90" t="inlineStr">
        <is>
          <t>+ Other Current Liabilities</t>
        </is>
      </c>
      <c r="C90" s="5">
        <f>C43/C5</f>
        <v/>
      </c>
      <c r="D90" s="5">
        <f>D43/D5</f>
        <v/>
      </c>
      <c r="E90" s="5">
        <f>E43/E5</f>
        <v/>
      </c>
      <c r="F90" s="5">
        <f>F43/F5</f>
        <v/>
      </c>
    </row>
    <row r="91">
      <c r="B91" s="3" t="inlineStr">
        <is>
          <t>Total Current Liabilities</t>
        </is>
      </c>
      <c r="C91" s="5">
        <f>C44/C5</f>
        <v/>
      </c>
      <c r="D91" s="5">
        <f>D44/D5</f>
        <v/>
      </c>
      <c r="E91" s="5">
        <f>E44/E5</f>
        <v/>
      </c>
      <c r="F91" s="5">
        <f>F44/F5</f>
        <v/>
      </c>
    </row>
    <row r="92">
      <c r="B92" t="inlineStr">
        <is>
          <t>+ Revolving Credit Facility</t>
        </is>
      </c>
      <c r="C92" s="5">
        <f>C45/C5</f>
        <v/>
      </c>
      <c r="D92" s="5">
        <f>D45/D5</f>
        <v/>
      </c>
      <c r="E92" s="5">
        <f>E45/E5</f>
        <v/>
      </c>
      <c r="F92" s="5">
        <f>F45/F5</f>
        <v/>
      </c>
    </row>
    <row r="93">
      <c r="B93" t="inlineStr">
        <is>
          <t>+ Notes Payable, net</t>
        </is>
      </c>
      <c r="C93" s="5">
        <f>C46/C5</f>
        <v/>
      </c>
      <c r="D93" s="5">
        <f>D46/D5</f>
        <v/>
      </c>
      <c r="E93" s="5">
        <f>E46/E5</f>
        <v/>
      </c>
      <c r="F93" s="5">
        <f>F46/F5</f>
        <v/>
      </c>
    </row>
    <row r="94">
      <c r="B94" t="inlineStr">
        <is>
          <t>+ Deferred Income Taxes</t>
        </is>
      </c>
      <c r="C94" s="5">
        <f>C47/C5</f>
        <v/>
      </c>
      <c r="D94" s="5">
        <f>D47/D5</f>
        <v/>
      </c>
      <c r="E94" s="5">
        <f>E47/E5</f>
        <v/>
      </c>
      <c r="F94" s="5">
        <f>F47/F5</f>
        <v/>
      </c>
    </row>
    <row r="95">
      <c r="B95" t="inlineStr">
        <is>
          <t>+ Other Long-term Liabilities</t>
        </is>
      </c>
      <c r="C95" s="5">
        <f>C48/C5</f>
        <v/>
      </c>
      <c r="D95" s="5">
        <f>D48/D5</f>
        <v/>
      </c>
      <c r="E95" s="5">
        <f>E48/E5</f>
        <v/>
      </c>
      <c r="F95" s="5">
        <f>F48/F5</f>
        <v/>
      </c>
    </row>
    <row r="96">
      <c r="B96" s="3" t="inlineStr">
        <is>
          <t>Total Liabilities</t>
        </is>
      </c>
      <c r="C96" s="5">
        <f>C49/C5</f>
        <v/>
      </c>
      <c r="D96" s="5">
        <f>D49/D5</f>
        <v/>
      </c>
      <c r="E96" s="5">
        <f>E49/E5</f>
        <v/>
      </c>
      <c r="F96" s="5">
        <f>F49/F5</f>
        <v/>
      </c>
    </row>
    <row r="97">
      <c r="B97" s="3" t="inlineStr">
        <is>
          <t>Stockholders' Equity</t>
        </is>
      </c>
      <c r="C97" s="5">
        <f>C50/C5</f>
        <v/>
      </c>
      <c r="D97" s="5">
        <f>D50/D5</f>
        <v/>
      </c>
      <c r="E97" s="5">
        <f>E50/E5</f>
        <v/>
      </c>
      <c r="F97" s="5">
        <f>F50/F5</f>
        <v/>
      </c>
    </row>
    <row r="98">
      <c r="B98" s="3" t="inlineStr">
        <is>
          <t>Total Liabilities &amp; Equity</t>
        </is>
      </c>
      <c r="C98" s="5">
        <f>C51/C5</f>
        <v/>
      </c>
      <c r="D98" s="5">
        <f>D51/D5</f>
        <v/>
      </c>
      <c r="E98" s="5">
        <f>E51/E5</f>
        <v/>
      </c>
      <c r="F98" s="5">
        <f>F51/F5</f>
        <v/>
      </c>
    </row>
    <row r="101">
      <c r="A101" t="inlineStr">
        <is>
          <t>x</t>
        </is>
      </c>
      <c r="B101" s="2" t="inlineStr">
        <is>
          <t>EQUITY SCHEDULE</t>
        </is>
      </c>
      <c r="C101" s="2" t="inlineStr">
        <is>
          <t>FY 2021</t>
        </is>
      </c>
      <c r="D101" s="2" t="inlineStr">
        <is>
          <t>FY 2022</t>
        </is>
      </c>
      <c r="E101" s="2" t="inlineStr">
        <is>
          <t>FY 2023</t>
        </is>
      </c>
      <c r="F101" s="2" t="inlineStr">
        <is>
          <t>FY 2024</t>
        </is>
      </c>
    </row>
    <row r="102">
      <c r="B102" s="3" t="inlineStr">
        <is>
          <t>Beginning of Period</t>
        </is>
      </c>
      <c r="C102" s="4" t="n">
        <v>0</v>
      </c>
      <c r="D102" s="4">
        <f>C50</f>
        <v/>
      </c>
      <c r="E102" s="4">
        <f>D50</f>
        <v/>
      </c>
      <c r="F102" s="4">
        <f>E50</f>
        <v/>
      </c>
    </row>
    <row r="103">
      <c r="B103" t="inlineStr">
        <is>
          <t>+ Net Income</t>
        </is>
      </c>
      <c r="C103" s="4">
        <f>C15</f>
        <v/>
      </c>
      <c r="D103" s="4">
        <f>D15</f>
        <v/>
      </c>
      <c r="E103" s="4">
        <f>E15</f>
        <v/>
      </c>
      <c r="F103" s="4">
        <f>F15</f>
        <v/>
      </c>
    </row>
    <row r="104">
      <c r="B104" t="inlineStr">
        <is>
          <t>+ Other Changes (Buybacks/Dividends/OCI)</t>
        </is>
      </c>
      <c r="C104" s="4">
        <f>C50-C102-C103</f>
        <v/>
      </c>
      <c r="D104" s="4">
        <f>D50-D102-D103</f>
        <v/>
      </c>
      <c r="E104" s="4">
        <f>E50-E102-E103</f>
        <v/>
      </c>
      <c r="F104" s="4">
        <f>F50-F102-F103</f>
        <v/>
      </c>
    </row>
    <row r="105">
      <c r="B105" s="3" t="inlineStr">
        <is>
          <t>End of Period</t>
        </is>
      </c>
      <c r="C105" s="4">
        <f>C50</f>
        <v/>
      </c>
      <c r="D105" s="4">
        <f>D50</f>
        <v/>
      </c>
      <c r="E105" s="4">
        <f>E50</f>
        <v/>
      </c>
      <c r="F105" s="4">
        <f>F50</f>
        <v/>
      </c>
    </row>
    <row r="108">
      <c r="A108" t="inlineStr">
        <is>
          <t>x</t>
        </is>
      </c>
      <c r="B108" s="2" t="inlineStr">
        <is>
          <t>STATEMENT OF CASH FLOWS (Derived)</t>
        </is>
      </c>
      <c r="C108" s="2" t="inlineStr">
        <is>
          <t>FY 2021</t>
        </is>
      </c>
      <c r="D108" s="2" t="inlineStr">
        <is>
          <t>FY 2022</t>
        </is>
      </c>
      <c r="E108" s="2" t="inlineStr">
        <is>
          <t>FY 2023</t>
        </is>
      </c>
      <c r="F108" s="2" t="inlineStr">
        <is>
          <t>FY 2024</t>
        </is>
      </c>
    </row>
    <row r="109">
      <c r="B109" s="2" t="inlineStr">
        <is>
          <t>Operating Activities:</t>
        </is>
      </c>
    </row>
    <row r="110">
      <c r="B110" t="inlineStr">
        <is>
          <t>Net Income</t>
        </is>
      </c>
      <c r="C110" s="4">
        <f>C15</f>
        <v/>
      </c>
      <c r="D110" s="4">
        <f>D15</f>
        <v/>
      </c>
      <c r="E110" s="4">
        <f>E15</f>
        <v/>
      </c>
      <c r="F110" s="4">
        <f>F15</f>
        <v/>
      </c>
    </row>
    <row r="111">
      <c r="B111" t="inlineStr">
        <is>
          <t>+ Depreciation &amp; Amortization</t>
        </is>
      </c>
      <c r="C111" s="4">
        <f>C9</f>
        <v/>
      </c>
      <c r="D111" s="4">
        <f>D9</f>
        <v/>
      </c>
      <c r="E111" s="4">
        <f>E9</f>
        <v/>
      </c>
      <c r="F111" s="4">
        <f>F9</f>
        <v/>
      </c>
    </row>
    <row r="112">
      <c r="B112" t="inlineStr">
        <is>
          <t>+ Goodwill Impairment</t>
        </is>
      </c>
      <c r="C112" s="4">
        <f>C10</f>
        <v/>
      </c>
      <c r="D112" s="4">
        <f>D10</f>
        <v/>
      </c>
      <c r="E112" s="4">
        <f>E10</f>
        <v/>
      </c>
      <c r="F112" s="4">
        <f>F10</f>
        <v/>
      </c>
    </row>
    <row r="113">
      <c r="B113" t="inlineStr">
        <is>
          <t>- Change in Accounts Receivable</t>
        </is>
      </c>
      <c r="C113" s="4">
        <f>-(C28-0)</f>
        <v/>
      </c>
      <c r="D113" s="4">
        <f>-(D28-C28)</f>
        <v/>
      </c>
      <c r="E113" s="4">
        <f>-(E28-D28)</f>
        <v/>
      </c>
      <c r="F113" s="4">
        <f>-(F28-E28)</f>
        <v/>
      </c>
    </row>
    <row r="114">
      <c r="B114" t="inlineStr">
        <is>
          <t>- Change in Subcontractor Receivables</t>
        </is>
      </c>
      <c r="C114" s="4">
        <f>-(C29-0)</f>
        <v/>
      </c>
      <c r="D114" s="4">
        <f>-(D29-C29)</f>
        <v/>
      </c>
      <c r="E114" s="4">
        <f>-(E29-D29)</f>
        <v/>
      </c>
      <c r="F114" s="4">
        <f>-(F29-E29)</f>
        <v/>
      </c>
    </row>
    <row r="115">
      <c r="B115" t="inlineStr">
        <is>
          <t>- Change in Prepaid &amp; Other</t>
        </is>
      </c>
      <c r="C115" s="4">
        <f>-(C30-0)</f>
        <v/>
      </c>
      <c r="D115" s="4">
        <f>-(D30-C30)</f>
        <v/>
      </c>
      <c r="E115" s="4">
        <f>-(E30-D30)</f>
        <v/>
      </c>
      <c r="F115" s="4">
        <f>-(F30-E30)</f>
        <v/>
      </c>
    </row>
    <row r="116">
      <c r="B116" t="inlineStr">
        <is>
          <t>+ Change in AP &amp; Accrued</t>
        </is>
      </c>
      <c r="C116" s="4">
        <f>C41-0</f>
        <v/>
      </c>
      <c r="D116" s="4">
        <f>D41-C41</f>
        <v/>
      </c>
      <c r="E116" s="4">
        <f>E41-D41</f>
        <v/>
      </c>
      <c r="F116" s="4">
        <f>F41-E41</f>
        <v/>
      </c>
    </row>
    <row r="117">
      <c r="B117" t="inlineStr">
        <is>
          <t>+ Change in Accrued Compensation</t>
        </is>
      </c>
      <c r="C117" s="4">
        <f>C42-0</f>
        <v/>
      </c>
      <c r="D117" s="4">
        <f>D42-C42</f>
        <v/>
      </c>
      <c r="E117" s="4">
        <f>E42-D42</f>
        <v/>
      </c>
      <c r="F117" s="4">
        <f>F42-E42</f>
        <v/>
      </c>
    </row>
    <row r="118">
      <c r="B118" t="inlineStr">
        <is>
          <t>+ Change in Other Current Liabilities</t>
        </is>
      </c>
      <c r="C118" s="4">
        <f>C43-0</f>
        <v/>
      </c>
      <c r="D118" s="4">
        <f>D43-C43</f>
        <v/>
      </c>
      <c r="E118" s="4">
        <f>E43-D43</f>
        <v/>
      </c>
      <c r="F118" s="4">
        <f>F43-E43</f>
        <v/>
      </c>
    </row>
    <row r="119">
      <c r="B119" s="3" t="inlineStr">
        <is>
          <t>Cash Flow from Operations</t>
        </is>
      </c>
      <c r="C119" s="4">
        <f>C110+C111+C112+C113+C114+C115+C116+C117+C118</f>
        <v/>
      </c>
      <c r="D119" s="4">
        <f>D110+D111+D112+D113+D114+D115+D116+D117+D118</f>
        <v/>
      </c>
      <c r="E119" s="4">
        <f>E110+E111+E112+E113+E114+E115+E116+E117+E118</f>
        <v/>
      </c>
      <c r="F119" s="4">
        <f>F110+F111+F112+F113+F114+F115+F116+F117+F118</f>
        <v/>
      </c>
    </row>
    <row r="121">
      <c r="B121" s="2" t="inlineStr">
        <is>
          <t>Investing Activities:</t>
        </is>
      </c>
    </row>
    <row r="122">
      <c r="B122" t="inlineStr">
        <is>
          <t>- Capital Expenditures (implied)</t>
        </is>
      </c>
      <c r="C122" s="4">
        <f>-((C33-0)+C9)</f>
        <v/>
      </c>
      <c r="D122" s="4">
        <f>-((D33-C33)+D9)</f>
        <v/>
      </c>
      <c r="E122" s="4">
        <f>-((E33-D33)+E9)</f>
        <v/>
      </c>
      <c r="F122" s="4">
        <f>-((F33-E33)+F9)</f>
        <v/>
      </c>
    </row>
    <row r="123">
      <c r="B123" t="inlineStr">
        <is>
          <t>- Change in Goodwill (Acquisitions)</t>
        </is>
      </c>
      <c r="C123" s="4">
        <f>-((C36-0)-C10)</f>
        <v/>
      </c>
      <c r="D123" s="4">
        <f>-((D36-C36)-D10)</f>
        <v/>
      </c>
      <c r="E123" s="4">
        <f>-((E36-D36)-E10)</f>
        <v/>
      </c>
      <c r="F123" s="4">
        <f>-((F36-E36)-F10)</f>
        <v/>
      </c>
    </row>
    <row r="124">
      <c r="B124" t="inlineStr">
        <is>
          <t>- Change in Intangibles</t>
        </is>
      </c>
      <c r="C124" s="4">
        <f>-(C37-0)</f>
        <v/>
      </c>
      <c r="D124" s="4">
        <f>-(D37-C37)</f>
        <v/>
      </c>
      <c r="E124" s="4">
        <f>-(E37-D37)</f>
        <v/>
      </c>
      <c r="F124" s="4">
        <f>-(F37-E37)</f>
        <v/>
      </c>
    </row>
    <row r="125">
      <c r="B125" t="inlineStr">
        <is>
          <t>- Change in Other Assets</t>
        </is>
      </c>
      <c r="C125" s="4">
        <f>-(C34-0)</f>
        <v/>
      </c>
      <c r="D125" s="4">
        <f>-(D34-C34)</f>
        <v/>
      </c>
      <c r="E125" s="4">
        <f>-(E34-D34)</f>
        <v/>
      </c>
      <c r="F125" s="4">
        <f>-(F34-E34)</f>
        <v/>
      </c>
    </row>
    <row r="126">
      <c r="B126" s="3" t="inlineStr">
        <is>
          <t>Cash Flow from Investing</t>
        </is>
      </c>
      <c r="C126" s="4">
        <f>C122+C123+C124+C125</f>
        <v/>
      </c>
      <c r="D126" s="4">
        <f>D122+D123+D124+D125</f>
        <v/>
      </c>
      <c r="E126" s="4">
        <f>E122+E123+E124+E125</f>
        <v/>
      </c>
      <c r="F126" s="4">
        <f>F122+F123+F124+F125</f>
        <v/>
      </c>
    </row>
    <row r="128">
      <c r="B128" s="2" t="inlineStr">
        <is>
          <t>Financing Activities:</t>
        </is>
      </c>
    </row>
    <row r="129">
      <c r="B129" t="inlineStr">
        <is>
          <t>+ Change in Total Debt</t>
        </is>
      </c>
      <c r="C129" s="4">
        <f>C58-0</f>
        <v/>
      </c>
      <c r="D129" s="4">
        <f>D58-C58</f>
        <v/>
      </c>
      <c r="E129" s="4">
        <f>E58-D58</f>
        <v/>
      </c>
      <c r="F129" s="4">
        <f>F58-E58</f>
        <v/>
      </c>
    </row>
    <row r="130">
      <c r="B130" t="inlineStr">
        <is>
          <t>+ Other Equity Activity (Buybacks/Dividends)</t>
        </is>
      </c>
      <c r="C130" s="4">
        <f>C104</f>
        <v/>
      </c>
      <c r="D130" s="4">
        <f>D104</f>
        <v/>
      </c>
      <c r="E130" s="4">
        <f>E104</f>
        <v/>
      </c>
      <c r="F130" s="4">
        <f>F104</f>
        <v/>
      </c>
    </row>
    <row r="131">
      <c r="B131" s="3" t="inlineStr">
        <is>
          <t>Cash Flow from Financing</t>
        </is>
      </c>
      <c r="C131" s="4">
        <f>C129+C130</f>
        <v/>
      </c>
      <c r="D131" s="4">
        <f>D129+D130</f>
        <v/>
      </c>
      <c r="E131" s="4">
        <f>E129+E130</f>
        <v/>
      </c>
      <c r="F131" s="4">
        <f>F129+F130</f>
        <v/>
      </c>
    </row>
    <row r="133">
      <c r="B133" s="3" t="inlineStr">
        <is>
          <t>Total Cash Flow (Calculated)</t>
        </is>
      </c>
      <c r="C133" s="4">
        <f>C119+C126+C131</f>
        <v/>
      </c>
      <c r="D133" s="4">
        <f>D119+D126+D131</f>
        <v/>
      </c>
      <c r="E133" s="4">
        <f>E119+E126+E131</f>
        <v/>
      </c>
      <c r="F133" s="4">
        <f>F119+F126+F131</f>
        <v/>
      </c>
    </row>
    <row r="134">
      <c r="B134" t="inlineStr">
        <is>
          <t>Actual Change in Cash</t>
        </is>
      </c>
      <c r="C134" s="4">
        <f>C27-0</f>
        <v/>
      </c>
      <c r="D134" s="4">
        <f>D27-C27</f>
        <v/>
      </c>
      <c r="E134" s="4">
        <f>E27-D27</f>
        <v/>
      </c>
      <c r="F134" s="4">
        <f>F27-E27</f>
        <v/>
      </c>
    </row>
    <row r="135">
      <c r="B135" t="inlineStr">
        <is>
          <t>Difference (Unaccounted items)</t>
        </is>
      </c>
      <c r="C135" s="4">
        <f>C133-C134</f>
        <v/>
      </c>
      <c r="D135" s="4">
        <f>D133-D134</f>
        <v/>
      </c>
      <c r="E135" s="4">
        <f>E133-E134</f>
        <v/>
      </c>
      <c r="F135" s="4">
        <f>F133-F134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2026-01-31T01:34:46Z</dcterms:created>
  <dcterms:modified xsi:type="dcterms:W3CDTF">2026-01-31T01:34:46Z</dcterms:modified>
</cp:coreProperties>
</file>