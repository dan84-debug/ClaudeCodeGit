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x"/>
    <numFmt numFmtId="166" formatCode="0.000"/>
    <numFmt numFmtId="167" formatCode="0.0"/>
    <numFmt numFmtId="168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6F3FF"/>
        <bgColor rgb="00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6" fontId="0" fillId="0" borderId="0" pivotButton="0" quotePrefix="0" xfId="0"/>
    <xf numFmtId="167" fontId="0" fillId="3" borderId="0" pivotButton="0" quotePrefix="0" xfId="0"/>
    <xf numFmtId="168" fontId="0" fillId="3" borderId="0" pivotButton="0" quotePrefix="0" xfId="0"/>
    <xf numFmtId="168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7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B1" s="1" t="inlineStr">
        <is>
          <t>AMN Healthcare Services Inc (AMN) - Financial Model</t>
        </is>
      </c>
    </row>
    <row r="3">
      <c r="A3" t="inlineStr">
        <is>
          <t>x</t>
        </is>
      </c>
      <c r="B3" s="2" t="inlineStr">
        <is>
          <t>SEGMENT REVENUE BREAKDOWN - In Thousands USD</t>
        </is>
      </c>
      <c r="C3" s="2" t="inlineStr">
        <is>
          <t>FY 2021</t>
        </is>
      </c>
      <c r="D3" s="2" t="inlineStr">
        <is>
          <t>FY 2022</t>
        </is>
      </c>
      <c r="E3" s="2" t="inlineStr">
        <is>
          <t>FY 2023</t>
        </is>
      </c>
      <c r="F3" s="2" t="inlineStr">
        <is>
          <t>FY 2024</t>
        </is>
      </c>
      <c r="G3" s="2" t="inlineStr">
        <is>
          <t>FY 2025</t>
        </is>
      </c>
      <c r="H3" s="2" t="inlineStr">
        <is>
          <t>FY 2026</t>
        </is>
      </c>
      <c r="I3" s="2" t="inlineStr">
        <is>
          <t>FY 2027</t>
        </is>
      </c>
      <c r="J3" s="2" t="inlineStr">
        <is>
          <t>FY 2028</t>
        </is>
      </c>
      <c r="K3" s="2" t="inlineStr">
        <is>
          <t>FY 2029</t>
        </is>
      </c>
      <c r="L3" s="2" t="inlineStr">
        <is>
          <t>FY 2030</t>
        </is>
      </c>
      <c r="R3" s="2" t="inlineStr">
        <is>
          <t>Q1 2024</t>
        </is>
      </c>
      <c r="S3" s="2" t="inlineStr">
        <is>
          <t>Q2 2024</t>
        </is>
      </c>
      <c r="T3" s="2" t="inlineStr">
        <is>
          <t>Q3 2024</t>
        </is>
      </c>
      <c r="U3" s="2" t="inlineStr">
        <is>
          <t>Q4 2024</t>
        </is>
      </c>
      <c r="V3" s="2" t="inlineStr">
        <is>
          <t>Q1 2025</t>
        </is>
      </c>
      <c r="W3" s="2" t="inlineStr">
        <is>
          <t>Q2 2025</t>
        </is>
      </c>
      <c r="X3" s="2" t="inlineStr">
        <is>
          <t>Q3 2025</t>
        </is>
      </c>
      <c r="Y3" s="2" t="inlineStr">
        <is>
          <t>Q4 2025</t>
        </is>
      </c>
      <c r="Z3" s="2" t="inlineStr">
        <is>
          <t>Q1 2026</t>
        </is>
      </c>
      <c r="AA3" s="2" t="inlineStr">
        <is>
          <t>Q2 2026</t>
        </is>
      </c>
      <c r="AB3" s="2" t="inlineStr">
        <is>
          <t>Q3 2026</t>
        </is>
      </c>
      <c r="AC3" s="2" t="inlineStr">
        <is>
          <t>Q4 2026</t>
        </is>
      </c>
    </row>
    <row r="4">
      <c r="B4" t="inlineStr">
        <is>
          <t>Nurse and Allied Solutions</t>
        </is>
      </c>
      <c r="C4" s="3" t="n">
        <v>2990100</v>
      </c>
      <c r="D4" s="3" t="n">
        <v>3982500</v>
      </c>
      <c r="E4" s="3" t="n">
        <v>2624500</v>
      </c>
      <c r="F4" s="3" t="n">
        <v>1815700</v>
      </c>
      <c r="R4" s="3" t="n">
        <v>519300</v>
      </c>
      <c r="S4" s="3" t="n">
        <v>442400</v>
      </c>
      <c r="T4" s="3" t="n">
        <v>399400</v>
      </c>
      <c r="U4" s="3" t="n">
        <v>454700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B5" t="inlineStr">
        <is>
          <t xml:space="preserve">  YoY Growth</t>
        </is>
      </c>
      <c r="C5" t="inlineStr"/>
      <c r="D5" s="4">
        <f>D4/C4-1</f>
        <v/>
      </c>
      <c r="E5" s="4">
        <f>E4/D4-1</f>
        <v/>
      </c>
      <c r="F5" s="4">
        <f>F4/E4-1</f>
        <v/>
      </c>
      <c r="G5" s="4">
        <f>IF(G4&gt;0,G4/F4-1,"")</f>
        <v/>
      </c>
      <c r="H5" s="4">
        <f>IF(H4&gt;0,H4/G4-1,"")</f>
        <v/>
      </c>
      <c r="I5" s="4">
        <f>IF(I4&gt;0,I4/H4-1,"")</f>
        <v/>
      </c>
      <c r="J5" s="4">
        <f>IF(J4&gt;0,J4/I4-1,"")</f>
        <v/>
      </c>
      <c r="K5" s="4">
        <f>IF(K4&gt;0,K4/J4-1,"")</f>
        <v/>
      </c>
      <c r="L5" s="4">
        <f>IF(L4&gt;0,L4/K4-1,"")</f>
        <v/>
      </c>
      <c r="R5" s="4">
        <f>R4/756900-1</f>
        <v/>
      </c>
      <c r="S5" s="4">
        <f>S4/756600-1</f>
        <v/>
      </c>
      <c r="T5" s="4">
        <f>T4/573400-1</f>
        <v/>
      </c>
      <c r="U5" s="4">
        <f>U4/537600-1</f>
        <v/>
      </c>
      <c r="V5" s="4">
        <f>IF(V4&gt;0,V4/R4-1,"")</f>
        <v/>
      </c>
      <c r="W5" s="4">
        <f>IF(W4&gt;0,W4/S4-1,"")</f>
        <v/>
      </c>
      <c r="X5" s="4">
        <f>IF(X4&gt;0,X4/T4-1,"")</f>
        <v/>
      </c>
      <c r="Y5" s="4">
        <f>IF(Y4&gt;0,Y4/U4-1,"")</f>
        <v/>
      </c>
      <c r="Z5" s="4">
        <f>IF(Z4&gt;0,Z4/V4-1,"")</f>
        <v/>
      </c>
      <c r="AA5" s="4">
        <f>IF(AA4&gt;0,AA4/W4-1,"")</f>
        <v/>
      </c>
      <c r="AB5" s="4">
        <f>IF(AB4&gt;0,AB4/X4-1,"")</f>
        <v/>
      </c>
      <c r="AC5" s="4">
        <f>IF(AC4&gt;0,AC4/Y4-1,"")</f>
        <v/>
      </c>
    </row>
    <row r="6">
      <c r="B6" t="inlineStr">
        <is>
          <t>Physician and Leadership Solutions</t>
        </is>
      </c>
      <c r="C6" s="3" t="n">
        <v>594200</v>
      </c>
      <c r="D6" s="3" t="n">
        <v>697900</v>
      </c>
      <c r="E6" s="3" t="n">
        <v>669700</v>
      </c>
      <c r="F6" s="3" t="n">
        <v>728600</v>
      </c>
      <c r="R6" s="3" t="n">
        <v>188800</v>
      </c>
      <c r="S6" s="3" t="n">
        <v>186100</v>
      </c>
      <c r="T6" s="3" t="n">
        <v>180600</v>
      </c>
      <c r="U6" s="3" t="n">
        <v>173100</v>
      </c>
      <c r="V6" s="3" t="n">
        <v>0</v>
      </c>
      <c r="W6" s="3" t="n">
        <v>0</v>
      </c>
      <c r="X6" s="3" t="n">
        <v>0</v>
      </c>
      <c r="Y6" s="3" t="n">
        <v>0</v>
      </c>
    </row>
    <row r="7">
      <c r="B7" t="inlineStr">
        <is>
          <t xml:space="preserve">  YoY Growth</t>
        </is>
      </c>
      <c r="C7" t="inlineStr"/>
      <c r="D7" s="4">
        <f>D6/C6-1</f>
        <v/>
      </c>
      <c r="E7" s="4">
        <f>E6/D6-1</f>
        <v/>
      </c>
      <c r="F7" s="4">
        <f>F6/E6-1</f>
        <v/>
      </c>
      <c r="G7" s="4">
        <f>IF(G6&gt;0,G6/F6-1,"")</f>
        <v/>
      </c>
      <c r="H7" s="4">
        <f>IF(H6&gt;0,H6/G6-1,"")</f>
        <v/>
      </c>
      <c r="I7" s="4">
        <f>IF(I6&gt;0,I6/H6-1,"")</f>
        <v/>
      </c>
      <c r="J7" s="4">
        <f>IF(J6&gt;0,J6/I6-1,"")</f>
        <v/>
      </c>
      <c r="K7" s="4">
        <f>IF(K6&gt;0,K6/J6-1,"")</f>
        <v/>
      </c>
      <c r="L7" s="4">
        <f>IF(L6&gt;0,L6/K6-1,"")</f>
        <v/>
      </c>
      <c r="R7" s="4">
        <f>R6/170900-1</f>
        <v/>
      </c>
      <c r="S7" s="4">
        <f>S6/171000-1</f>
        <v/>
      </c>
      <c r="T7" s="4">
        <f>T6/159600-1</f>
        <v/>
      </c>
      <c r="U7" s="4">
        <f>U6/168200-1</f>
        <v/>
      </c>
      <c r="V7" s="4">
        <f>IF(V6&gt;0,V6/R6-1,"")</f>
        <v/>
      </c>
      <c r="W7" s="4">
        <f>IF(W6&gt;0,W6/S6-1,"")</f>
        <v/>
      </c>
      <c r="X7" s="4">
        <f>IF(X6&gt;0,X6/T6-1,"")</f>
        <v/>
      </c>
      <c r="Y7" s="4">
        <f>IF(Y6&gt;0,Y6/U6-1,"")</f>
        <v/>
      </c>
      <c r="Z7" s="4">
        <f>IF(Z6&gt;0,Z6/V6-1,"")</f>
        <v/>
      </c>
      <c r="AA7" s="4">
        <f>IF(AA6&gt;0,AA6/W6-1,"")</f>
        <v/>
      </c>
      <c r="AB7" s="4">
        <f>IF(AB6&gt;0,AB6/X6-1,"")</f>
        <v/>
      </c>
      <c r="AC7" s="4">
        <f>IF(AC6&gt;0,AC6/Y6-1,"")</f>
        <v/>
      </c>
    </row>
    <row r="8">
      <c r="B8" t="inlineStr">
        <is>
          <t>Technology and Workforce Solutions</t>
        </is>
      </c>
      <c r="C8" s="3" t="n">
        <v>399900</v>
      </c>
      <c r="D8" s="3" t="n">
        <v>562800</v>
      </c>
      <c r="E8" s="3" t="n">
        <v>495000</v>
      </c>
      <c r="F8" s="3" t="n">
        <v>439500</v>
      </c>
      <c r="R8" s="3" t="n">
        <v>112800</v>
      </c>
      <c r="S8" s="3" t="n">
        <v>112200</v>
      </c>
      <c r="T8" s="3" t="n">
        <v>107500</v>
      </c>
      <c r="U8" s="3" t="n">
        <v>106900</v>
      </c>
      <c r="V8" s="3" t="n">
        <v>0</v>
      </c>
      <c r="W8" s="3" t="n">
        <v>0</v>
      </c>
      <c r="X8" s="3" t="n">
        <v>0</v>
      </c>
      <c r="Y8" s="3" t="n">
        <v>0</v>
      </c>
    </row>
    <row r="9">
      <c r="B9" t="inlineStr">
        <is>
          <t xml:space="preserve">  YoY Growth</t>
        </is>
      </c>
      <c r="C9" t="inlineStr"/>
      <c r="D9" s="4">
        <f>D8/C8-1</f>
        <v/>
      </c>
      <c r="E9" s="4">
        <f>E8/D8-1</f>
        <v/>
      </c>
      <c r="F9" s="4">
        <f>F8/E8-1</f>
        <v/>
      </c>
      <c r="G9" s="4">
        <f>IF(G8&gt;0,G8/F8-1,"")</f>
        <v/>
      </c>
      <c r="H9" s="4">
        <f>IF(H8&gt;0,H8/G8-1,"")</f>
        <v/>
      </c>
      <c r="I9" s="4">
        <f>IF(I8&gt;0,I8/H8-1,"")</f>
        <v/>
      </c>
      <c r="J9" s="4">
        <f>IF(J8&gt;0,J8/I8-1,"")</f>
        <v/>
      </c>
      <c r="K9" s="4">
        <f>IF(K8&gt;0,K8/J8-1,"")</f>
        <v/>
      </c>
      <c r="L9" s="4">
        <f>IF(L8&gt;0,L8/K8-1,"")</f>
        <v/>
      </c>
      <c r="R9" s="4">
        <f>R8/131200-1</f>
        <v/>
      </c>
      <c r="S9" s="4">
        <f>S8/130800-1</f>
        <v/>
      </c>
      <c r="T9" s="4">
        <f>T8/120500-1</f>
        <v/>
      </c>
      <c r="U9" s="4">
        <f>U8/112500-1</f>
        <v/>
      </c>
      <c r="V9" s="4">
        <f>IF(V8&gt;0,V8/R8-1,"")</f>
        <v/>
      </c>
      <c r="W9" s="4">
        <f>IF(W8&gt;0,W8/S8-1,"")</f>
        <v/>
      </c>
      <c r="X9" s="4">
        <f>IF(X8&gt;0,X8/T8-1,"")</f>
        <v/>
      </c>
      <c r="Y9" s="4">
        <f>IF(Y8&gt;0,Y8/U8-1,"")</f>
        <v/>
      </c>
      <c r="Z9" s="4">
        <f>IF(Z8&gt;0,Z8/V8-1,"")</f>
        <v/>
      </c>
      <c r="AA9" s="4">
        <f>IF(AA8&gt;0,AA8/W8-1,"")</f>
        <v/>
      </c>
      <c r="AB9" s="4">
        <f>IF(AB8&gt;0,AB8/X8-1,"")</f>
        <v/>
      </c>
      <c r="AC9" s="4">
        <f>IF(AC8&gt;0,AC8/Y8-1,"")</f>
        <v/>
      </c>
    </row>
    <row r="10">
      <c r="B10" s="5" t="inlineStr">
        <is>
          <t>Total Revenue</t>
        </is>
      </c>
      <c r="C10" s="3">
        <f>C4+C6+C8</f>
        <v/>
      </c>
      <c r="D10" s="3">
        <f>D4+D6+D8</f>
        <v/>
      </c>
      <c r="E10" s="3">
        <f>E4+E6+E8</f>
        <v/>
      </c>
      <c r="F10" s="3">
        <f>F4+F6+F8</f>
        <v/>
      </c>
      <c r="G10" s="3">
        <f>G4+G6+G8</f>
        <v/>
      </c>
      <c r="H10" s="3">
        <f>H4+H6+H8</f>
        <v/>
      </c>
      <c r="I10" s="3">
        <f>I4+I6+I8</f>
        <v/>
      </c>
      <c r="J10" s="3">
        <f>J4+J6+J8</f>
        <v/>
      </c>
      <c r="K10" s="3">
        <f>K4+K6+K8</f>
        <v/>
      </c>
      <c r="L10" s="3">
        <f>L4+L6+L8</f>
        <v/>
      </c>
      <c r="R10" s="3">
        <f>R4+R6+R8</f>
        <v/>
      </c>
      <c r="S10" s="3">
        <f>S4+S6+S8</f>
        <v/>
      </c>
      <c r="T10" s="3">
        <f>T4+T6+T8</f>
        <v/>
      </c>
      <c r="U10" s="3">
        <f>U4+U6+U8</f>
        <v/>
      </c>
      <c r="V10" s="3">
        <f>V4+V6+V8</f>
        <v/>
      </c>
      <c r="W10" s="3">
        <f>W4+W6+W8</f>
        <v/>
      </c>
      <c r="X10" s="3">
        <f>X4+X6+X8</f>
        <v/>
      </c>
      <c r="Y10" s="3">
        <f>Y4+Y6+Y8</f>
        <v/>
      </c>
      <c r="Z10" s="3">
        <f>Z4+Z6+Z8</f>
        <v/>
      </c>
      <c r="AA10" s="3">
        <f>AA4+AA6+AA8</f>
        <v/>
      </c>
      <c r="AB10" s="3">
        <f>AB4+AB6+AB8</f>
        <v/>
      </c>
      <c r="AC10" s="3">
        <f>AC4+AC6+AC8</f>
        <v/>
      </c>
    </row>
    <row r="11">
      <c r="B11" s="5" t="inlineStr">
        <is>
          <t xml:space="preserve">  YoY Growth</t>
        </is>
      </c>
      <c r="C11" t="inlineStr"/>
      <c r="D11" s="4">
        <f>D10/C10-1</f>
        <v/>
      </c>
      <c r="E11" s="4">
        <f>E10/D10-1</f>
        <v/>
      </c>
      <c r="F11" s="4">
        <f>F10/E10-1</f>
        <v/>
      </c>
      <c r="G11" s="4">
        <f>IF(G10&gt;0,G10/F10-1,"")</f>
        <v/>
      </c>
      <c r="H11" s="4">
        <f>IF(H10&gt;0,H10/G10-1,"")</f>
        <v/>
      </c>
      <c r="I11" s="4">
        <f>IF(I10&gt;0,I10/H10-1,"")</f>
        <v/>
      </c>
      <c r="J11" s="4">
        <f>IF(J10&gt;0,J10/I10-1,"")</f>
        <v/>
      </c>
      <c r="K11" s="4">
        <f>IF(K10&gt;0,K10/J10-1,"")</f>
        <v/>
      </c>
      <c r="L11" s="4">
        <f>IF(L10&gt;0,L10/K10-1,"")</f>
        <v/>
      </c>
      <c r="R11" s="4">
        <f>R10/1126223-1</f>
        <v/>
      </c>
      <c r="S11" s="4">
        <f>S10/991299-1</f>
        <v/>
      </c>
      <c r="T11" s="4">
        <f>T10/853463-1</f>
        <v/>
      </c>
      <c r="U11" s="4">
        <f>U10/818269-1</f>
        <v/>
      </c>
      <c r="V11" s="4">
        <f>IF(V10&gt;0,V10/R10-1,"")</f>
        <v/>
      </c>
      <c r="W11" s="4">
        <f>IF(W10&gt;0,W10/S10-1,"")</f>
        <v/>
      </c>
      <c r="X11" s="4">
        <f>IF(X10&gt;0,X10/T10-1,"")</f>
        <v/>
      </c>
      <c r="Y11" s="4">
        <f>IF(Y10&gt;0,Y10/U10-1,"")</f>
        <v/>
      </c>
      <c r="Z11" s="4">
        <f>IF(Z10&gt;0,Z10/V10-1,"")</f>
        <v/>
      </c>
      <c r="AA11" s="4">
        <f>IF(AA10&gt;0,AA10/W10-1,"")</f>
        <v/>
      </c>
      <c r="AB11" s="4">
        <f>IF(AB10&gt;0,AB10/X10-1,"")</f>
        <v/>
      </c>
      <c r="AC11" s="4">
        <f>IF(AC10&gt;0,AC10/Y10-1,"")</f>
        <v/>
      </c>
    </row>
    <row r="14">
      <c r="A14" t="inlineStr">
        <is>
          <t>x</t>
        </is>
      </c>
      <c r="B14" s="2" t="inlineStr">
        <is>
          <t>INCOME STATEMENT - In Thousands USD</t>
        </is>
      </c>
      <c r="C14" s="2" t="inlineStr">
        <is>
          <t>FY 2021</t>
        </is>
      </c>
      <c r="D14" s="2" t="inlineStr">
        <is>
          <t>FY 2022</t>
        </is>
      </c>
      <c r="E14" s="2" t="inlineStr">
        <is>
          <t>FY 2023</t>
        </is>
      </c>
      <c r="F14" s="2" t="inlineStr">
        <is>
          <t>FY 2024</t>
        </is>
      </c>
      <c r="G14" s="2" t="inlineStr">
        <is>
          <t>FY 2025</t>
        </is>
      </c>
      <c r="H14" s="2" t="inlineStr">
        <is>
          <t>FY 2026</t>
        </is>
      </c>
      <c r="I14" s="2" t="inlineStr">
        <is>
          <t>FY 2027</t>
        </is>
      </c>
      <c r="J14" s="2" t="inlineStr">
        <is>
          <t>FY 2028</t>
        </is>
      </c>
      <c r="K14" s="2" t="inlineStr">
        <is>
          <t>FY 2029</t>
        </is>
      </c>
      <c r="L14" s="2" t="inlineStr">
        <is>
          <t>FY 2030</t>
        </is>
      </c>
      <c r="R14" s="2" t="inlineStr">
        <is>
          <t>Q1 2024</t>
        </is>
      </c>
      <c r="S14" s="2" t="inlineStr">
        <is>
          <t>Q2 2024</t>
        </is>
      </c>
      <c r="T14" s="2" t="inlineStr">
        <is>
          <t>Q3 2024</t>
        </is>
      </c>
      <c r="U14" s="2" t="inlineStr">
        <is>
          <t>Q4 2024</t>
        </is>
      </c>
      <c r="V14" s="2" t="inlineStr">
        <is>
          <t>Q1 2025</t>
        </is>
      </c>
      <c r="W14" s="2" t="inlineStr">
        <is>
          <t>Q2 2025</t>
        </is>
      </c>
      <c r="X14" s="2" t="inlineStr">
        <is>
          <t>Q3 2025</t>
        </is>
      </c>
      <c r="Y14" s="2" t="inlineStr">
        <is>
          <t>Q4 2025</t>
        </is>
      </c>
      <c r="Z14" s="2" t="inlineStr">
        <is>
          <t>Q1 2026</t>
        </is>
      </c>
      <c r="AA14" s="2" t="inlineStr">
        <is>
          <t>Q2 2026</t>
        </is>
      </c>
      <c r="AB14" s="2" t="inlineStr">
        <is>
          <t>Q3 2026</t>
        </is>
      </c>
      <c r="AC14" s="2" t="inlineStr">
        <is>
          <t>Q4 2026</t>
        </is>
      </c>
    </row>
    <row r="15">
      <c r="B15" t="inlineStr">
        <is>
          <t>Period Ending</t>
        </is>
      </c>
      <c r="C15" t="inlineStr">
        <is>
          <t>12/31/2021</t>
        </is>
      </c>
      <c r="D15" t="inlineStr">
        <is>
          <t>12/31/2022</t>
        </is>
      </c>
      <c r="E15" t="inlineStr">
        <is>
          <t>12/31/2023</t>
        </is>
      </c>
      <c r="F15" t="inlineStr">
        <is>
          <t>12/31/2024</t>
        </is>
      </c>
      <c r="G15" t="inlineStr">
        <is>
          <t>12/31/2025</t>
        </is>
      </c>
      <c r="H15" t="inlineStr">
        <is>
          <t>12/31/2026</t>
        </is>
      </c>
      <c r="I15" t="inlineStr">
        <is>
          <t>12/31/2027</t>
        </is>
      </c>
      <c r="J15" t="inlineStr">
        <is>
          <t>12/31/2028</t>
        </is>
      </c>
      <c r="K15" t="inlineStr">
        <is>
          <t>12/31/2029</t>
        </is>
      </c>
      <c r="L15" t="inlineStr">
        <is>
          <t>12/31/2030</t>
        </is>
      </c>
      <c r="R15" t="inlineStr">
        <is>
          <t>3/31/2024</t>
        </is>
      </c>
      <c r="S15" t="inlineStr">
        <is>
          <t>6/30/2024</t>
        </is>
      </c>
      <c r="T15" t="inlineStr">
        <is>
          <t>9/30/2024</t>
        </is>
      </c>
      <c r="U15" t="inlineStr">
        <is>
          <t>12/31/2024</t>
        </is>
      </c>
      <c r="V15" t="inlineStr">
        <is>
          <t>3/31/2025</t>
        </is>
      </c>
      <c r="W15" t="inlineStr">
        <is>
          <t>6/30/2025</t>
        </is>
      </c>
      <c r="X15" t="inlineStr">
        <is>
          <t>9/30/2025</t>
        </is>
      </c>
      <c r="Y15" t="inlineStr">
        <is>
          <t>12/31/2025</t>
        </is>
      </c>
      <c r="Z15" t="inlineStr">
        <is>
          <t>3/31/2026</t>
        </is>
      </c>
      <c r="AA15" t="inlineStr">
        <is>
          <t>6/30/2026</t>
        </is>
      </c>
      <c r="AB15" t="inlineStr">
        <is>
          <t>9/30/2026</t>
        </is>
      </c>
      <c r="AC15" t="inlineStr">
        <is>
          <t>12/31/2026</t>
        </is>
      </c>
    </row>
    <row r="16">
      <c r="B16" s="5" t="inlineStr">
        <is>
          <t>Revenue</t>
        </is>
      </c>
      <c r="C16" s="3" t="n">
        <v>3984235</v>
      </c>
      <c r="D16" s="3" t="n">
        <v>5243242</v>
      </c>
      <c r="E16" s="3" t="n">
        <v>3789254</v>
      </c>
      <c r="F16" s="3" t="n">
        <v>2983781</v>
      </c>
      <c r="R16" s="3" t="n">
        <v>820878</v>
      </c>
      <c r="S16" s="3" t="n">
        <v>740685</v>
      </c>
      <c r="T16" s="3" t="n">
        <v>687509</v>
      </c>
      <c r="U16" s="3" t="n">
        <v>734709</v>
      </c>
      <c r="V16" s="3" t="n">
        <v>0</v>
      </c>
      <c r="W16" s="3" t="n">
        <v>0</v>
      </c>
      <c r="X16" s="3" t="n">
        <v>0</v>
      </c>
      <c r="Y16" s="3" t="n">
        <v>0</v>
      </c>
    </row>
    <row r="17">
      <c r="B17" t="inlineStr">
        <is>
          <t>- Cost of Revenue</t>
        </is>
      </c>
      <c r="C17" s="3" t="n">
        <v>2674634</v>
      </c>
      <c r="D17" s="3" t="n">
        <v>3526558</v>
      </c>
      <c r="E17" s="3" t="n">
        <v>2539673</v>
      </c>
      <c r="F17" s="3" t="n">
        <v>2064405</v>
      </c>
      <c r="R17" s="3" t="n">
        <v>563372</v>
      </c>
      <c r="S17" s="3" t="n">
        <v>510858</v>
      </c>
      <c r="T17" s="3" t="n">
        <v>474454</v>
      </c>
      <c r="U17" s="3" t="n">
        <v>515721</v>
      </c>
      <c r="V17" s="3" t="n">
        <v>0</v>
      </c>
      <c r="W17" s="3" t="n">
        <v>0</v>
      </c>
      <c r="X17" s="3" t="n">
        <v>0</v>
      </c>
      <c r="Y17" s="3" t="n">
        <v>0</v>
      </c>
    </row>
    <row r="18">
      <c r="B18" s="6" t="inlineStr">
        <is>
          <t xml:space="preserve">  % of Sales</t>
        </is>
      </c>
      <c r="C18" s="7">
        <f>IF(C16&gt;0,C17/C16,"")</f>
        <v/>
      </c>
      <c r="D18" s="7">
        <f>IF(D16&gt;0,D17/D16,"")</f>
        <v/>
      </c>
      <c r="E18" s="7">
        <f>IF(E16&gt;0,E17/E16,"")</f>
        <v/>
      </c>
      <c r="F18" s="7">
        <f>IF(F16&gt;0,F17/F16,"")</f>
        <v/>
      </c>
      <c r="G18" s="7">
        <f>IF(G16&gt;0,G17/G16,"")</f>
        <v/>
      </c>
      <c r="H18" s="7">
        <f>IF(H16&gt;0,H17/H16,"")</f>
        <v/>
      </c>
      <c r="I18" s="7">
        <f>IF(I16&gt;0,I17/I16,"")</f>
        <v/>
      </c>
      <c r="J18" s="7">
        <f>IF(J16&gt;0,J17/J16,"")</f>
        <v/>
      </c>
      <c r="K18" s="7">
        <f>IF(K16&gt;0,K17/K16,"")</f>
        <v/>
      </c>
      <c r="L18" s="7">
        <f>IF(L16&gt;0,L17/L16,"")</f>
        <v/>
      </c>
      <c r="R18" s="7">
        <f>IF(R16&gt;0,R17/R16,"")</f>
        <v/>
      </c>
      <c r="S18" s="7">
        <f>IF(S16&gt;0,S17/S16,"")</f>
        <v/>
      </c>
      <c r="T18" s="7">
        <f>IF(T16&gt;0,T17/T16,"")</f>
        <v/>
      </c>
      <c r="U18" s="7">
        <f>IF(U16&gt;0,U17/U16,"")</f>
        <v/>
      </c>
      <c r="V18" s="7">
        <f>IF(V16&gt;0,V17/V16,"")</f>
        <v/>
      </c>
      <c r="W18" s="7">
        <f>IF(W16&gt;0,W17/W16,"")</f>
        <v/>
      </c>
      <c r="X18" s="7">
        <f>IF(X16&gt;0,X17/X16,"")</f>
        <v/>
      </c>
      <c r="Y18" s="7">
        <f>IF(Y16&gt;0,Y17/Y16,"")</f>
        <v/>
      </c>
      <c r="Z18" s="7">
        <f>IF(Z16&gt;0,Z17/Z16,"")</f>
        <v/>
      </c>
      <c r="AA18" s="7">
        <f>IF(AA16&gt;0,AA17/AA16,"")</f>
        <v/>
      </c>
      <c r="AB18" s="7">
        <f>IF(AB16&gt;0,AB17/AB16,"")</f>
        <v/>
      </c>
      <c r="AC18" s="7">
        <f>IF(AC16&gt;0,AC17/AC16,"")</f>
        <v/>
      </c>
    </row>
    <row r="19">
      <c r="B19" s="5" t="inlineStr">
        <is>
          <t>Gross Profit</t>
        </is>
      </c>
      <c r="C19" s="3">
        <f>C16-C17</f>
        <v/>
      </c>
      <c r="D19" s="3">
        <f>D16-D17</f>
        <v/>
      </c>
      <c r="E19" s="3">
        <f>E16-E17</f>
        <v/>
      </c>
      <c r="F19" s="3">
        <f>F16-F17</f>
        <v/>
      </c>
      <c r="G19" s="3">
        <f>G16-G17</f>
        <v/>
      </c>
      <c r="H19" s="3">
        <f>H16-H17</f>
        <v/>
      </c>
      <c r="I19" s="3">
        <f>I16-I17</f>
        <v/>
      </c>
      <c r="J19" s="3">
        <f>J16-J17</f>
        <v/>
      </c>
      <c r="K19" s="3">
        <f>K16-K17</f>
        <v/>
      </c>
      <c r="L19" s="3">
        <f>L16-L17</f>
        <v/>
      </c>
      <c r="R19" s="3">
        <f>R16-R17</f>
        <v/>
      </c>
      <c r="S19" s="3">
        <f>S16-S17</f>
        <v/>
      </c>
      <c r="T19" s="3">
        <f>T16-T17</f>
        <v/>
      </c>
      <c r="U19" s="3">
        <f>U16-U17</f>
        <v/>
      </c>
      <c r="V19" s="3">
        <f>V16-V17</f>
        <v/>
      </c>
      <c r="W19" s="3">
        <f>W16-W17</f>
        <v/>
      </c>
      <c r="X19" s="3">
        <f>X16-X17</f>
        <v/>
      </c>
      <c r="Y19" s="3">
        <f>Y16-Y17</f>
        <v/>
      </c>
      <c r="Z19" s="3">
        <f>Z16-Z17</f>
        <v/>
      </c>
      <c r="AA19" s="3">
        <f>AA16-AA17</f>
        <v/>
      </c>
      <c r="AB19" s="3">
        <f>AB16-AB17</f>
        <v/>
      </c>
      <c r="AC19" s="3">
        <f>AC16-AC17</f>
        <v/>
      </c>
    </row>
    <row r="20">
      <c r="B20" t="inlineStr">
        <is>
          <t>- SG&amp;A Expenses</t>
        </is>
      </c>
      <c r="C20" s="3" t="n">
        <v>730451</v>
      </c>
      <c r="D20" s="3" t="n">
        <v>936576</v>
      </c>
      <c r="E20" s="3" t="n">
        <v>756238</v>
      </c>
      <c r="F20" s="3" t="n">
        <v>632489</v>
      </c>
      <c r="R20" s="3" t="n">
        <v>174842</v>
      </c>
      <c r="S20" s="3" t="n">
        <v>149044</v>
      </c>
      <c r="T20" s="3" t="n">
        <v>149681</v>
      </c>
      <c r="U20" s="3" t="n">
        <v>158922</v>
      </c>
      <c r="V20" s="3" t="n">
        <v>0</v>
      </c>
      <c r="W20" s="3" t="n">
        <v>0</v>
      </c>
      <c r="X20" s="3" t="n">
        <v>0</v>
      </c>
      <c r="Y20" s="3" t="n">
        <v>0</v>
      </c>
    </row>
    <row r="21">
      <c r="B21" s="6" t="inlineStr">
        <is>
          <t xml:space="preserve">  % of Sales</t>
        </is>
      </c>
      <c r="C21" s="7">
        <f>IF(C16&gt;0,C20/C16,"")</f>
        <v/>
      </c>
      <c r="D21" s="7">
        <f>IF(D16&gt;0,D20/D16,"")</f>
        <v/>
      </c>
      <c r="E21" s="7">
        <f>IF(E16&gt;0,E20/E16,"")</f>
        <v/>
      </c>
      <c r="F21" s="7">
        <f>IF(F16&gt;0,F20/F16,"")</f>
        <v/>
      </c>
      <c r="G21" s="7">
        <f>IF(G16&gt;0,G20/G16,"")</f>
        <v/>
      </c>
      <c r="H21" s="7">
        <f>IF(H16&gt;0,H20/H16,"")</f>
        <v/>
      </c>
      <c r="I21" s="7">
        <f>IF(I16&gt;0,I20/I16,"")</f>
        <v/>
      </c>
      <c r="J21" s="7">
        <f>IF(J16&gt;0,J20/J16,"")</f>
        <v/>
      </c>
      <c r="K21" s="7">
        <f>IF(K16&gt;0,K20/K16,"")</f>
        <v/>
      </c>
      <c r="L21" s="7">
        <f>IF(L16&gt;0,L20/L16,"")</f>
        <v/>
      </c>
      <c r="R21" s="7">
        <f>IF(R16&gt;0,R20/R16,"")</f>
        <v/>
      </c>
      <c r="S21" s="7">
        <f>IF(S16&gt;0,S20/S16,"")</f>
        <v/>
      </c>
      <c r="T21" s="7">
        <f>IF(T16&gt;0,T20/T16,"")</f>
        <v/>
      </c>
      <c r="U21" s="7">
        <f>IF(U16&gt;0,U20/U16,"")</f>
        <v/>
      </c>
      <c r="V21" s="7">
        <f>IF(V16&gt;0,V20/V16,"")</f>
        <v/>
      </c>
      <c r="W21" s="7">
        <f>IF(W16&gt;0,W20/W16,"")</f>
        <v/>
      </c>
      <c r="X21" s="7">
        <f>IF(X16&gt;0,X20/X16,"")</f>
        <v/>
      </c>
      <c r="Y21" s="7">
        <f>IF(Y16&gt;0,Y20/Y16,"")</f>
        <v/>
      </c>
      <c r="Z21" s="7">
        <f>IF(Z16&gt;0,Z20/Z16,"")</f>
        <v/>
      </c>
      <c r="AA21" s="7">
        <f>IF(AA16&gt;0,AA20/AA16,"")</f>
        <v/>
      </c>
      <c r="AB21" s="7">
        <f>IF(AB16&gt;0,AB20/AB16,"")</f>
        <v/>
      </c>
      <c r="AC21" s="7">
        <f>IF(AC16&gt;0,AC20/AC16,"")</f>
        <v/>
      </c>
    </row>
    <row r="22">
      <c r="B22" t="inlineStr">
        <is>
          <t>- Depreciation &amp; Amortization</t>
        </is>
      </c>
      <c r="C22" s="3" t="n">
        <v>101152</v>
      </c>
      <c r="D22" s="3" t="n">
        <v>133007</v>
      </c>
      <c r="E22" s="3" t="n">
        <v>154914</v>
      </c>
      <c r="F22" s="3" t="n">
        <v>167103</v>
      </c>
      <c r="R22" s="3" t="n">
        <v>42719</v>
      </c>
      <c r="S22" s="3" t="n">
        <v>43101</v>
      </c>
      <c r="T22" s="3" t="n">
        <v>41122</v>
      </c>
      <c r="U22" s="3" t="n">
        <v>40161</v>
      </c>
      <c r="V22" s="3" t="n">
        <v>0</v>
      </c>
      <c r="W22" s="3" t="n">
        <v>0</v>
      </c>
      <c r="X22" s="3" t="n">
        <v>0</v>
      </c>
      <c r="Y22" s="3" t="n">
        <v>0</v>
      </c>
    </row>
    <row r="23">
      <c r="B23" t="inlineStr">
        <is>
          <t>- Goodwill Impairment</t>
        </is>
      </c>
      <c r="C23" s="3" t="n">
        <v>0</v>
      </c>
      <c r="D23" s="3" t="n">
        <v>0</v>
      </c>
      <c r="E23" s="3" t="n">
        <v>0</v>
      </c>
      <c r="F23" s="3" t="n">
        <v>222457</v>
      </c>
      <c r="R23" s="3" t="n">
        <v>0</v>
      </c>
      <c r="S23" s="3" t="n">
        <v>0</v>
      </c>
      <c r="T23" s="3" t="n">
        <v>0</v>
      </c>
      <c r="U23" s="3" t="n">
        <v>222457</v>
      </c>
      <c r="V23" s="3" t="n">
        <v>0</v>
      </c>
      <c r="W23" s="3" t="n">
        <v>0</v>
      </c>
      <c r="X23" s="3" t="n">
        <v>0</v>
      </c>
      <c r="Y23" s="3" t="n">
        <v>0</v>
      </c>
    </row>
    <row r="24">
      <c r="B24" s="5" t="inlineStr">
        <is>
          <t>Operating Income (Loss)</t>
        </is>
      </c>
      <c r="C24" s="3">
        <f>C19-C20-C22-C23</f>
        <v/>
      </c>
      <c r="D24" s="3">
        <f>D19-D20-D22-D23</f>
        <v/>
      </c>
      <c r="E24" s="3">
        <f>E19-E20-E22-E23</f>
        <v/>
      </c>
      <c r="F24" s="3">
        <f>F19-F20-F22-F23</f>
        <v/>
      </c>
      <c r="G24" s="3">
        <f>G19-G20-G22-G23</f>
        <v/>
      </c>
      <c r="H24" s="3">
        <f>H19-H20-H22-H23</f>
        <v/>
      </c>
      <c r="I24" s="3">
        <f>I19-I20-I22-I23</f>
        <v/>
      </c>
      <c r="J24" s="3">
        <f>J19-J20-J22-J23</f>
        <v/>
      </c>
      <c r="K24" s="3">
        <f>K19-K20-K22-K23</f>
        <v/>
      </c>
      <c r="L24" s="3">
        <f>L19-L20-L22-L23</f>
        <v/>
      </c>
      <c r="R24" s="3">
        <f>R19-R20-R22-R23</f>
        <v/>
      </c>
      <c r="S24" s="3">
        <f>S19-S20-S22-S23</f>
        <v/>
      </c>
      <c r="T24" s="3">
        <f>T19-T20-T22-T23</f>
        <v/>
      </c>
      <c r="U24" s="3">
        <f>U19-U20-U22-U23</f>
        <v/>
      </c>
      <c r="V24" s="3">
        <f>V19-V20-V22-V23</f>
        <v/>
      </c>
      <c r="W24" s="3">
        <f>W19-W20-W22-W23</f>
        <v/>
      </c>
      <c r="X24" s="3">
        <f>X19-X20-X22-X23</f>
        <v/>
      </c>
      <c r="Y24" s="3">
        <f>Y19-Y20-Y22-Y23</f>
        <v/>
      </c>
      <c r="Z24" s="3">
        <f>Z19-Z20-Z22-Z23</f>
        <v/>
      </c>
      <c r="AA24" s="3">
        <f>AA19-AA20-AA22-AA23</f>
        <v/>
      </c>
      <c r="AB24" s="3">
        <f>AB19-AB20-AB22-AB23</f>
        <v/>
      </c>
      <c r="AC24" s="3">
        <f>AC19-AC20-AC22-AC23</f>
        <v/>
      </c>
    </row>
    <row r="25">
      <c r="B25" t="inlineStr">
        <is>
          <t>- Interest Expense, net</t>
        </is>
      </c>
      <c r="C25" s="3" t="n">
        <v>34077</v>
      </c>
      <c r="D25" s="3" t="n">
        <v>40398</v>
      </c>
      <c r="E25" s="3" t="n">
        <v>54140</v>
      </c>
      <c r="F25" s="3" t="n">
        <v>69901</v>
      </c>
      <c r="R25" s="3" t="n">
        <v>16628</v>
      </c>
      <c r="S25" s="3" t="n">
        <v>15715</v>
      </c>
      <c r="T25" s="3" t="n">
        <v>14444</v>
      </c>
      <c r="U25" s="3" t="n">
        <v>23114</v>
      </c>
      <c r="V25" s="3" t="n">
        <v>0</v>
      </c>
      <c r="W25" s="3" t="n">
        <v>0</v>
      </c>
      <c r="X25" s="3" t="n">
        <v>0</v>
      </c>
      <c r="Y25" s="3" t="n">
        <v>0</v>
      </c>
    </row>
    <row r="26">
      <c r="B26" s="5" t="inlineStr">
        <is>
          <t>Pretax Income (Loss)</t>
        </is>
      </c>
      <c r="C26" s="3">
        <f>C24-C25</f>
        <v/>
      </c>
      <c r="D26" s="3">
        <f>D24-D25</f>
        <v/>
      </c>
      <c r="E26" s="3">
        <f>E24-E25</f>
        <v/>
      </c>
      <c r="F26" s="3">
        <f>F24-F25</f>
        <v/>
      </c>
      <c r="G26" s="3">
        <f>G24-G25</f>
        <v/>
      </c>
      <c r="H26" s="3">
        <f>H24-H25</f>
        <v/>
      </c>
      <c r="I26" s="3">
        <f>I24-I25</f>
        <v/>
      </c>
      <c r="J26" s="3">
        <f>J24-J25</f>
        <v/>
      </c>
      <c r="K26" s="3">
        <f>K24-K25</f>
        <v/>
      </c>
      <c r="L26" s="3">
        <f>L24-L25</f>
        <v/>
      </c>
      <c r="R26" s="3">
        <f>R24-R25</f>
        <v/>
      </c>
      <c r="S26" s="3">
        <f>S24-S25</f>
        <v/>
      </c>
      <c r="T26" s="3">
        <f>T24-T25</f>
        <v/>
      </c>
      <c r="U26" s="3">
        <f>U24-U25</f>
        <v/>
      </c>
      <c r="V26" s="3">
        <f>V24-V25</f>
        <v/>
      </c>
      <c r="W26" s="3">
        <f>W24-W25</f>
        <v/>
      </c>
      <c r="X26" s="3">
        <f>X24-X25</f>
        <v/>
      </c>
      <c r="Y26" s="3">
        <f>Y24-Y25</f>
        <v/>
      </c>
      <c r="Z26" s="3">
        <f>Z24-Z25</f>
        <v/>
      </c>
      <c r="AA26" s="3">
        <f>AA24-AA25</f>
        <v/>
      </c>
      <c r="AB26" s="3">
        <f>AB24-AB25</f>
        <v/>
      </c>
      <c r="AC26" s="3">
        <f>AC24-AC25</f>
        <v/>
      </c>
    </row>
    <row r="27">
      <c r="B27" t="inlineStr">
        <is>
          <t>- Income Tax Expense (Benefit)</t>
        </is>
      </c>
      <c r="C27" s="3" t="n">
        <v>116533</v>
      </c>
      <c r="D27" s="3" t="n">
        <v>162653</v>
      </c>
      <c r="E27" s="3" t="n">
        <v>73610</v>
      </c>
      <c r="F27" s="3" t="n">
        <v>-25595</v>
      </c>
      <c r="R27" s="3" t="n">
        <v>5989</v>
      </c>
      <c r="S27" s="3" t="n">
        <v>5730</v>
      </c>
      <c r="T27" s="3" t="n">
        <v>819</v>
      </c>
      <c r="U27" s="3" t="n">
        <v>-38133</v>
      </c>
      <c r="V27" s="3" t="n">
        <v>0</v>
      </c>
      <c r="W27" s="3" t="n">
        <v>0</v>
      </c>
      <c r="X27" s="3" t="n">
        <v>0</v>
      </c>
      <c r="Y27" s="3" t="n">
        <v>0</v>
      </c>
    </row>
    <row r="28">
      <c r="B28" s="5" t="inlineStr">
        <is>
          <t>Net Income (Loss)</t>
        </is>
      </c>
      <c r="C28" s="3">
        <f>C26-C27</f>
        <v/>
      </c>
      <c r="D28" s="3">
        <f>D26-D27</f>
        <v/>
      </c>
      <c r="E28" s="3">
        <f>E26-E27</f>
        <v/>
      </c>
      <c r="F28" s="3">
        <f>F26-F27</f>
        <v/>
      </c>
      <c r="G28" s="3">
        <f>G26-G27</f>
        <v/>
      </c>
      <c r="H28" s="3">
        <f>H26-H27</f>
        <v/>
      </c>
      <c r="I28" s="3">
        <f>I26-I27</f>
        <v/>
      </c>
      <c r="J28" s="3">
        <f>J26-J27</f>
        <v/>
      </c>
      <c r="K28" s="3">
        <f>K26-K27</f>
        <v/>
      </c>
      <c r="L28" s="3">
        <f>L26-L27</f>
        <v/>
      </c>
      <c r="R28" s="3">
        <f>R26-R27</f>
        <v/>
      </c>
      <c r="S28" s="3">
        <f>S26-S27</f>
        <v/>
      </c>
      <c r="T28" s="3">
        <f>T26-T27</f>
        <v/>
      </c>
      <c r="U28" s="3">
        <f>U26-U27</f>
        <v/>
      </c>
      <c r="V28" s="3">
        <f>V26-V27</f>
        <v/>
      </c>
      <c r="W28" s="3">
        <f>W26-W27</f>
        <v/>
      </c>
      <c r="X28" s="3">
        <f>X26-X27</f>
        <v/>
      </c>
      <c r="Y28" s="3">
        <f>Y26-Y27</f>
        <v/>
      </c>
      <c r="Z28" s="3">
        <f>Z26-Z27</f>
        <v/>
      </c>
      <c r="AA28" s="3">
        <f>AA26-AA27</f>
        <v/>
      </c>
      <c r="AB28" s="3">
        <f>AB26-AB27</f>
        <v/>
      </c>
      <c r="AC28" s="3">
        <f>AC26-AC27</f>
        <v/>
      </c>
    </row>
    <row r="30">
      <c r="B30" s="2" t="inlineStr">
        <is>
          <t>Reference Items</t>
        </is>
      </c>
    </row>
    <row r="31">
      <c r="B31" t="inlineStr">
        <is>
          <t>EBITDA</t>
        </is>
      </c>
      <c r="C31" s="3">
        <f>C24+C22+C23</f>
        <v/>
      </c>
      <c r="D31" s="3">
        <f>D24+D22+D23</f>
        <v/>
      </c>
      <c r="E31" s="3">
        <f>E24+E22+E23</f>
        <v/>
      </c>
      <c r="F31" s="3">
        <f>F24+F22+F23</f>
        <v/>
      </c>
      <c r="G31" s="3">
        <f>G24+G22+G23</f>
        <v/>
      </c>
      <c r="H31" s="3">
        <f>H24+H22+H23</f>
        <v/>
      </c>
      <c r="I31" s="3">
        <f>I24+I22+I23</f>
        <v/>
      </c>
      <c r="J31" s="3">
        <f>J24+J22+J23</f>
        <v/>
      </c>
      <c r="K31" s="3">
        <f>K24+K22+K23</f>
        <v/>
      </c>
      <c r="L31" s="3">
        <f>L24+L22+L23</f>
        <v/>
      </c>
      <c r="R31" s="3">
        <f>R24+R22+R23</f>
        <v/>
      </c>
      <c r="S31" s="3">
        <f>S24+S22+S23</f>
        <v/>
      </c>
      <c r="T31" s="3">
        <f>T24+T22+T23</f>
        <v/>
      </c>
      <c r="U31" s="3">
        <f>U24+U22+U23</f>
        <v/>
      </c>
      <c r="V31" s="3">
        <f>V24+V22+V23</f>
        <v/>
      </c>
      <c r="W31" s="3">
        <f>W24+W22+W23</f>
        <v/>
      </c>
      <c r="X31" s="3">
        <f>X24+X22+X23</f>
        <v/>
      </c>
      <c r="Y31" s="3">
        <f>Y24+Y22+Y23</f>
        <v/>
      </c>
      <c r="Z31" s="3">
        <f>Z24+Z22+Z23</f>
        <v/>
      </c>
      <c r="AA31" s="3">
        <f>AA24+AA22+AA23</f>
        <v/>
      </c>
      <c r="AB31" s="3">
        <f>AB24+AB22+AB23</f>
        <v/>
      </c>
      <c r="AC31" s="3">
        <f>AC24+AC22+AC23</f>
        <v/>
      </c>
    </row>
    <row r="32">
      <c r="B32" t="inlineStr">
        <is>
          <t>Gross Margin</t>
        </is>
      </c>
      <c r="C32" s="4">
        <f>IF(C16&gt;0,C19/C16,"")</f>
        <v/>
      </c>
      <c r="D32" s="4">
        <f>IF(D16&gt;0,D19/D16,"")</f>
        <v/>
      </c>
      <c r="E32" s="4">
        <f>IF(E16&gt;0,E19/E16,"")</f>
        <v/>
      </c>
      <c r="F32" s="4">
        <f>IF(F16&gt;0,F19/F16,"")</f>
        <v/>
      </c>
      <c r="G32" s="4">
        <f>IF(G16&gt;0,G19/G16,"")</f>
        <v/>
      </c>
      <c r="H32" s="4">
        <f>IF(H16&gt;0,H19/H16,"")</f>
        <v/>
      </c>
      <c r="I32" s="4">
        <f>IF(I16&gt;0,I19/I16,"")</f>
        <v/>
      </c>
      <c r="J32" s="4">
        <f>IF(J16&gt;0,J19/J16,"")</f>
        <v/>
      </c>
      <c r="K32" s="4">
        <f>IF(K16&gt;0,K19/K16,"")</f>
        <v/>
      </c>
      <c r="L32" s="4">
        <f>IF(L16&gt;0,L19/L16,"")</f>
        <v/>
      </c>
      <c r="R32" s="4">
        <f>IF(R16&gt;0,R19/R16,"")</f>
        <v/>
      </c>
      <c r="S32" s="4">
        <f>IF(S16&gt;0,S19/S16,"")</f>
        <v/>
      </c>
      <c r="T32" s="4">
        <f>IF(T16&gt;0,T19/T16,"")</f>
        <v/>
      </c>
      <c r="U32" s="4">
        <f>IF(U16&gt;0,U19/U16,"")</f>
        <v/>
      </c>
      <c r="V32" s="4">
        <f>IF(V16&gt;0,V19/V16,"")</f>
        <v/>
      </c>
      <c r="W32" s="4">
        <f>IF(W16&gt;0,W19/W16,"")</f>
        <v/>
      </c>
      <c r="X32" s="4">
        <f>IF(X16&gt;0,X19/X16,"")</f>
        <v/>
      </c>
      <c r="Y32" s="4">
        <f>IF(Y16&gt;0,Y19/Y16,"")</f>
        <v/>
      </c>
      <c r="Z32" s="4">
        <f>IF(Z16&gt;0,Z19/Z16,"")</f>
        <v/>
      </c>
      <c r="AA32" s="4">
        <f>IF(AA16&gt;0,AA19/AA16,"")</f>
        <v/>
      </c>
      <c r="AB32" s="4">
        <f>IF(AB16&gt;0,AB19/AB16,"")</f>
        <v/>
      </c>
      <c r="AC32" s="4">
        <f>IF(AC16&gt;0,AC19/AC16,"")</f>
        <v/>
      </c>
    </row>
    <row r="33">
      <c r="B33" t="inlineStr">
        <is>
          <t>Operating Margin</t>
        </is>
      </c>
      <c r="C33" s="4">
        <f>IF(C16&gt;0,C24/C16,"")</f>
        <v/>
      </c>
      <c r="D33" s="4">
        <f>IF(D16&gt;0,D24/D16,"")</f>
        <v/>
      </c>
      <c r="E33" s="4">
        <f>IF(E16&gt;0,E24/E16,"")</f>
        <v/>
      </c>
      <c r="F33" s="4">
        <f>IF(F16&gt;0,F24/F16,"")</f>
        <v/>
      </c>
      <c r="G33" s="4">
        <f>IF(G16&gt;0,G24/G16,"")</f>
        <v/>
      </c>
      <c r="H33" s="4">
        <f>IF(H16&gt;0,H24/H16,"")</f>
        <v/>
      </c>
      <c r="I33" s="4">
        <f>IF(I16&gt;0,I24/I16,"")</f>
        <v/>
      </c>
      <c r="J33" s="4">
        <f>IF(J16&gt;0,J24/J16,"")</f>
        <v/>
      </c>
      <c r="K33" s="4">
        <f>IF(K16&gt;0,K24/K16,"")</f>
        <v/>
      </c>
      <c r="L33" s="4">
        <f>IF(L16&gt;0,L24/L16,"")</f>
        <v/>
      </c>
      <c r="R33" s="4">
        <f>IF(R16&gt;0,R24/R16,"")</f>
        <v/>
      </c>
      <c r="S33" s="4">
        <f>IF(S16&gt;0,S24/S16,"")</f>
        <v/>
      </c>
      <c r="T33" s="4">
        <f>IF(T16&gt;0,T24/T16,"")</f>
        <v/>
      </c>
      <c r="U33" s="4">
        <f>IF(U16&gt;0,U24/U16,"")</f>
        <v/>
      </c>
      <c r="V33" s="4">
        <f>IF(V16&gt;0,V24/V16,"")</f>
        <v/>
      </c>
      <c r="W33" s="4">
        <f>IF(W16&gt;0,W24/W16,"")</f>
        <v/>
      </c>
      <c r="X33" s="4">
        <f>IF(X16&gt;0,X24/X16,"")</f>
        <v/>
      </c>
      <c r="Y33" s="4">
        <f>IF(Y16&gt;0,Y24/Y16,"")</f>
        <v/>
      </c>
      <c r="Z33" s="4">
        <f>IF(Z16&gt;0,Z24/Z16,"")</f>
        <v/>
      </c>
      <c r="AA33" s="4">
        <f>IF(AA16&gt;0,AA24/AA16,"")</f>
        <v/>
      </c>
      <c r="AB33" s="4">
        <f>IF(AB16&gt;0,AB24/AB16,"")</f>
        <v/>
      </c>
      <c r="AC33" s="4">
        <f>IF(AC16&gt;0,AC24/AC16,"")</f>
        <v/>
      </c>
    </row>
    <row r="34">
      <c r="B34" t="inlineStr">
        <is>
          <t>Net Profit Margin</t>
        </is>
      </c>
      <c r="C34" s="4">
        <f>IF(C16&gt;0,C28/C16,"")</f>
        <v/>
      </c>
      <c r="D34" s="4">
        <f>IF(D16&gt;0,D28/D16,"")</f>
        <v/>
      </c>
      <c r="E34" s="4">
        <f>IF(E16&gt;0,E28/E16,"")</f>
        <v/>
      </c>
      <c r="F34" s="4">
        <f>IF(F16&gt;0,F28/F16,"")</f>
        <v/>
      </c>
      <c r="G34" s="4">
        <f>IF(G16&gt;0,G28/G16,"")</f>
        <v/>
      </c>
      <c r="H34" s="4">
        <f>IF(H16&gt;0,H28/H16,"")</f>
        <v/>
      </c>
      <c r="I34" s="4">
        <f>IF(I16&gt;0,I28/I16,"")</f>
        <v/>
      </c>
      <c r="J34" s="4">
        <f>IF(J16&gt;0,J28/J16,"")</f>
        <v/>
      </c>
      <c r="K34" s="4">
        <f>IF(K16&gt;0,K28/K16,"")</f>
        <v/>
      </c>
      <c r="L34" s="4">
        <f>IF(L16&gt;0,L28/L16,"")</f>
        <v/>
      </c>
      <c r="R34" s="4">
        <f>IF(R16&gt;0,R28/R16,"")</f>
        <v/>
      </c>
      <c r="S34" s="4">
        <f>IF(S16&gt;0,S28/S16,"")</f>
        <v/>
      </c>
      <c r="T34" s="4">
        <f>IF(T16&gt;0,T28/T16,"")</f>
        <v/>
      </c>
      <c r="U34" s="4">
        <f>IF(U16&gt;0,U28/U16,"")</f>
        <v/>
      </c>
      <c r="V34" s="4">
        <f>IF(V16&gt;0,V28/V16,"")</f>
        <v/>
      </c>
      <c r="W34" s="4">
        <f>IF(W16&gt;0,W28/W16,"")</f>
        <v/>
      </c>
      <c r="X34" s="4">
        <f>IF(X16&gt;0,X28/X16,"")</f>
        <v/>
      </c>
      <c r="Y34" s="4">
        <f>IF(Y16&gt;0,Y28/Y16,"")</f>
        <v/>
      </c>
      <c r="Z34" s="4">
        <f>IF(Z16&gt;0,Z28/Z16,"")</f>
        <v/>
      </c>
      <c r="AA34" s="4">
        <f>IF(AA16&gt;0,AA28/AA16,"")</f>
        <v/>
      </c>
      <c r="AB34" s="4">
        <f>IF(AB16&gt;0,AB28/AB16,"")</f>
        <v/>
      </c>
      <c r="AC34" s="4">
        <f>IF(AC16&gt;0,AC28/AC16,"")</f>
        <v/>
      </c>
    </row>
    <row r="37">
      <c r="A37" t="inlineStr">
        <is>
          <t>x</t>
        </is>
      </c>
      <c r="B37" s="2" t="inlineStr">
        <is>
          <t>TAX SCHEDULE</t>
        </is>
      </c>
      <c r="C37" s="2" t="inlineStr">
        <is>
          <t>FY 2021</t>
        </is>
      </c>
      <c r="D37" s="2" t="inlineStr">
        <is>
          <t>FY 2022</t>
        </is>
      </c>
      <c r="E37" s="2" t="inlineStr">
        <is>
          <t>FY 2023</t>
        </is>
      </c>
      <c r="F37" s="2" t="inlineStr">
        <is>
          <t>FY 2024</t>
        </is>
      </c>
      <c r="G37" s="2" t="inlineStr">
        <is>
          <t>FY 2025</t>
        </is>
      </c>
      <c r="H37" s="2" t="inlineStr">
        <is>
          <t>FY 2026</t>
        </is>
      </c>
      <c r="I37" s="2" t="inlineStr">
        <is>
          <t>FY 2027</t>
        </is>
      </c>
      <c r="J37" s="2" t="inlineStr">
        <is>
          <t>FY 2028</t>
        </is>
      </c>
      <c r="K37" s="2" t="inlineStr">
        <is>
          <t>FY 2029</t>
        </is>
      </c>
      <c r="L37" s="2" t="inlineStr">
        <is>
          <t>FY 2030</t>
        </is>
      </c>
      <c r="R37" s="2" t="inlineStr">
        <is>
          <t>Q1 2024</t>
        </is>
      </c>
      <c r="S37" s="2" t="inlineStr">
        <is>
          <t>Q2 2024</t>
        </is>
      </c>
      <c r="T37" s="2" t="inlineStr">
        <is>
          <t>Q3 2024</t>
        </is>
      </c>
      <c r="U37" s="2" t="inlineStr">
        <is>
          <t>Q4 2024</t>
        </is>
      </c>
      <c r="V37" s="2" t="inlineStr">
        <is>
          <t>Q1 2025</t>
        </is>
      </c>
      <c r="W37" s="2" t="inlineStr">
        <is>
          <t>Q2 2025</t>
        </is>
      </c>
      <c r="X37" s="2" t="inlineStr">
        <is>
          <t>Q3 2025</t>
        </is>
      </c>
      <c r="Y37" s="2" t="inlineStr">
        <is>
          <t>Q4 2025</t>
        </is>
      </c>
      <c r="Z37" s="2" t="inlineStr">
        <is>
          <t>Q1 2026</t>
        </is>
      </c>
      <c r="AA37" s="2" t="inlineStr">
        <is>
          <t>Q2 2026</t>
        </is>
      </c>
      <c r="AB37" s="2" t="inlineStr">
        <is>
          <t>Q3 2026</t>
        </is>
      </c>
      <c r="AC37" s="2" t="inlineStr">
        <is>
          <t>Q4 2026</t>
        </is>
      </c>
    </row>
    <row r="38">
      <c r="B38" t="inlineStr">
        <is>
          <t>Pretax Income (Loss)</t>
        </is>
      </c>
      <c r="C38" s="3">
        <f>C26</f>
        <v/>
      </c>
      <c r="D38" s="3">
        <f>D26</f>
        <v/>
      </c>
      <c r="E38" s="3">
        <f>E26</f>
        <v/>
      </c>
      <c r="F38" s="3">
        <f>F26</f>
        <v/>
      </c>
      <c r="G38" s="3">
        <f>G26</f>
        <v/>
      </c>
      <c r="H38" s="3">
        <f>H26</f>
        <v/>
      </c>
      <c r="I38" s="3">
        <f>I26</f>
        <v/>
      </c>
      <c r="J38" s="3">
        <f>J26</f>
        <v/>
      </c>
      <c r="K38" s="3">
        <f>K26</f>
        <v/>
      </c>
      <c r="L38" s="3">
        <f>L26</f>
        <v/>
      </c>
      <c r="R38" s="3">
        <f>R26</f>
        <v/>
      </c>
      <c r="S38" s="3">
        <f>S26</f>
        <v/>
      </c>
      <c r="T38" s="3">
        <f>T26</f>
        <v/>
      </c>
      <c r="U38" s="3">
        <f>U26</f>
        <v/>
      </c>
      <c r="V38" s="3">
        <f>V26</f>
        <v/>
      </c>
      <c r="W38" s="3">
        <f>W26</f>
        <v/>
      </c>
      <c r="X38" s="3">
        <f>X26</f>
        <v/>
      </c>
      <c r="Y38" s="3">
        <f>Y26</f>
        <v/>
      </c>
      <c r="Z38" s="3">
        <f>Z26</f>
        <v/>
      </c>
      <c r="AA38" s="3">
        <f>AA26</f>
        <v/>
      </c>
      <c r="AB38" s="3">
        <f>AB26</f>
        <v/>
      </c>
      <c r="AC38" s="3">
        <f>AC26</f>
        <v/>
      </c>
    </row>
    <row r="39">
      <c r="B39" t="inlineStr">
        <is>
          <t>Income Tax Expense (Benefit)</t>
        </is>
      </c>
      <c r="C39" s="3">
        <f>C27</f>
        <v/>
      </c>
      <c r="D39" s="3">
        <f>D27</f>
        <v/>
      </c>
      <c r="E39" s="3">
        <f>E27</f>
        <v/>
      </c>
      <c r="F39" s="3">
        <f>F27</f>
        <v/>
      </c>
      <c r="G39" s="3">
        <f>G27</f>
        <v/>
      </c>
      <c r="H39" s="3">
        <f>H27</f>
        <v/>
      </c>
      <c r="I39" s="3">
        <f>I27</f>
        <v/>
      </c>
      <c r="J39" s="3">
        <f>J27</f>
        <v/>
      </c>
      <c r="K39" s="3">
        <f>K27</f>
        <v/>
      </c>
      <c r="L39" s="3">
        <f>L27</f>
        <v/>
      </c>
      <c r="R39" s="3">
        <f>R27</f>
        <v/>
      </c>
      <c r="S39" s="3">
        <f>S27</f>
        <v/>
      </c>
      <c r="T39" s="3">
        <f>T27</f>
        <v/>
      </c>
      <c r="U39" s="3">
        <f>U27</f>
        <v/>
      </c>
      <c r="V39" s="3">
        <f>V27</f>
        <v/>
      </c>
      <c r="W39" s="3">
        <f>W27</f>
        <v/>
      </c>
      <c r="X39" s="3">
        <f>X27</f>
        <v/>
      </c>
      <c r="Y39" s="3">
        <f>Y27</f>
        <v/>
      </c>
      <c r="Z39" s="3">
        <f>Z27</f>
        <v/>
      </c>
      <c r="AA39" s="3">
        <f>AA27</f>
        <v/>
      </c>
      <c r="AB39" s="3">
        <f>AB27</f>
        <v/>
      </c>
      <c r="AC39" s="3">
        <f>AC27</f>
        <v/>
      </c>
    </row>
    <row r="40">
      <c r="B40" s="6" t="inlineStr">
        <is>
          <t>Effective Tax Rate</t>
        </is>
      </c>
      <c r="C40" s="7">
        <f>IF(C38&lt;&gt;0,C39/C38,"")</f>
        <v/>
      </c>
      <c r="D40" s="7">
        <f>IF(D38&lt;&gt;0,D39/D38,"")</f>
        <v/>
      </c>
      <c r="E40" s="7">
        <f>IF(E38&lt;&gt;0,E39/E38,"")</f>
        <v/>
      </c>
      <c r="F40" s="7">
        <f>IF(F38&lt;&gt;0,F39/F38,"")</f>
        <v/>
      </c>
      <c r="G40" s="7">
        <f>IF(G38&lt;&gt;0,G39/G38,"")</f>
        <v/>
      </c>
      <c r="H40" s="7">
        <f>IF(H38&lt;&gt;0,H39/H38,"")</f>
        <v/>
      </c>
      <c r="I40" s="7">
        <f>IF(I38&lt;&gt;0,I39/I38,"")</f>
        <v/>
      </c>
      <c r="J40" s="7">
        <f>IF(J38&lt;&gt;0,J39/J38,"")</f>
        <v/>
      </c>
      <c r="K40" s="7">
        <f>IF(K38&lt;&gt;0,K39/K38,"")</f>
        <v/>
      </c>
      <c r="L40" s="7">
        <f>IF(L38&lt;&gt;0,L39/L38,"")</f>
        <v/>
      </c>
      <c r="R40" s="7">
        <f>IF(R38&lt;&gt;0,R39/R38,"")</f>
        <v/>
      </c>
      <c r="S40" s="7">
        <f>IF(S38&lt;&gt;0,S39/S38,"")</f>
        <v/>
      </c>
      <c r="T40" s="7">
        <f>IF(T38&lt;&gt;0,T39/T38,"")</f>
        <v/>
      </c>
      <c r="U40" s="7">
        <f>IF(U38&lt;&gt;0,U39/U38,"")</f>
        <v/>
      </c>
      <c r="V40" s="7">
        <f>IF(V38&lt;&gt;0,V39/V38,"")</f>
        <v/>
      </c>
      <c r="W40" s="7">
        <f>IF(W38&lt;&gt;0,W39/W38,"")</f>
        <v/>
      </c>
      <c r="X40" s="7">
        <f>IF(X38&lt;&gt;0,X39/X38,"")</f>
        <v/>
      </c>
      <c r="Y40" s="7">
        <f>IF(Y38&lt;&gt;0,Y39/Y38,"")</f>
        <v/>
      </c>
      <c r="Z40" s="7">
        <f>IF(Z38&lt;&gt;0,Z39/Z38,"")</f>
        <v/>
      </c>
      <c r="AA40" s="7">
        <f>IF(AA38&lt;&gt;0,AA39/AA38,"")</f>
        <v/>
      </c>
      <c r="AB40" s="7">
        <f>IF(AB38&lt;&gt;0,AB39/AB38,"")</f>
        <v/>
      </c>
      <c r="AC40" s="7">
        <f>IF(AC38&lt;&gt;0,AC39/AC38,"")</f>
        <v/>
      </c>
    </row>
    <row r="43">
      <c r="A43" t="inlineStr">
        <is>
          <t>x</t>
        </is>
      </c>
      <c r="B43" s="2" t="inlineStr">
        <is>
          <t>BALANCE SHEET - In Thousands of USD</t>
        </is>
      </c>
      <c r="C43" s="2" t="inlineStr">
        <is>
          <t>FY 2021</t>
        </is>
      </c>
      <c r="D43" s="2" t="inlineStr">
        <is>
          <t>FY 2022</t>
        </is>
      </c>
      <c r="E43" s="2" t="inlineStr">
        <is>
          <t>FY 2023</t>
        </is>
      </c>
      <c r="F43" s="2" t="inlineStr">
        <is>
          <t>FY 2024</t>
        </is>
      </c>
      <c r="G43" s="2" t="inlineStr">
        <is>
          <t>FY 2025</t>
        </is>
      </c>
      <c r="H43" s="2" t="inlineStr">
        <is>
          <t>FY 2026</t>
        </is>
      </c>
      <c r="I43" s="2" t="inlineStr">
        <is>
          <t>FY 2027</t>
        </is>
      </c>
      <c r="J43" s="2" t="inlineStr">
        <is>
          <t>FY 2028</t>
        </is>
      </c>
      <c r="K43" s="2" t="inlineStr">
        <is>
          <t>FY 2029</t>
        </is>
      </c>
      <c r="L43" s="2" t="inlineStr">
        <is>
          <t>FY 2030</t>
        </is>
      </c>
    </row>
    <row r="44">
      <c r="B44" t="inlineStr">
        <is>
          <t>Period Ending</t>
        </is>
      </c>
      <c r="C44" t="inlineStr">
        <is>
          <t>12/31/2021</t>
        </is>
      </c>
      <c r="D44" t="inlineStr">
        <is>
          <t>12/31/2022</t>
        </is>
      </c>
      <c r="E44" t="inlineStr">
        <is>
          <t>12/31/2023</t>
        </is>
      </c>
      <c r="F44" t="inlineStr">
        <is>
          <t>12/31/2024</t>
        </is>
      </c>
      <c r="G44" t="inlineStr">
        <is>
          <t>12/31/2025</t>
        </is>
      </c>
      <c r="H44" t="inlineStr">
        <is>
          <t>12/31/2026</t>
        </is>
      </c>
      <c r="I44" t="inlineStr">
        <is>
          <t>12/31/2027</t>
        </is>
      </c>
      <c r="J44" t="inlineStr">
        <is>
          <t>12/31/2028</t>
        </is>
      </c>
      <c r="K44" t="inlineStr">
        <is>
          <t>12/31/2029</t>
        </is>
      </c>
      <c r="L44" t="inlineStr">
        <is>
          <t>12/31/2030</t>
        </is>
      </c>
    </row>
    <row r="45">
      <c r="B45" s="2" t="inlineStr">
        <is>
          <t>ASSETS</t>
        </is>
      </c>
    </row>
    <row r="46">
      <c r="B46" t="inlineStr">
        <is>
          <t>+ Cash and Cash Equivalents</t>
        </is>
      </c>
      <c r="C46" s="3" t="n">
        <v>180928</v>
      </c>
      <c r="D46" s="3" t="n">
        <v>64524</v>
      </c>
      <c r="E46" s="3" t="n">
        <v>32935</v>
      </c>
      <c r="F46" s="3" t="n">
        <v>10649</v>
      </c>
    </row>
    <row r="47">
      <c r="B47" t="inlineStr">
        <is>
          <t>+ Accounts Receivable, net</t>
        </is>
      </c>
      <c r="C47" s="3" t="n">
        <v>789131</v>
      </c>
      <c r="D47" s="3" t="n">
        <v>675650</v>
      </c>
      <c r="E47" s="3" t="n">
        <v>623488</v>
      </c>
      <c r="F47" s="3" t="n">
        <v>437817</v>
      </c>
    </row>
    <row r="48">
      <c r="B48" t="inlineStr">
        <is>
          <t>+ Subcontractor Receivables</t>
        </is>
      </c>
      <c r="C48" s="3" t="n">
        <v>239719</v>
      </c>
      <c r="D48" s="3" t="n">
        <v>268726</v>
      </c>
      <c r="E48" s="3" t="n">
        <v>117703</v>
      </c>
      <c r="F48" s="3" t="n">
        <v>70481</v>
      </c>
    </row>
    <row r="49">
      <c r="B49" t="inlineStr">
        <is>
          <t>+ Prepaid &amp; Other Current</t>
        </is>
      </c>
      <c r="C49" s="3" t="n">
        <v>139290</v>
      </c>
      <c r="D49" s="3" t="n">
        <v>84745</v>
      </c>
      <c r="E49" s="3" t="n">
        <v>67559</v>
      </c>
      <c r="F49" s="3" t="n">
        <v>75968</v>
      </c>
    </row>
    <row r="50">
      <c r="B50" s="5" t="inlineStr">
        <is>
          <t>Total Current Assets</t>
        </is>
      </c>
      <c r="C50" s="3">
        <f>C46+C47+C48+C49</f>
        <v/>
      </c>
      <c r="D50" s="3">
        <f>D46+D47+D48+D49</f>
        <v/>
      </c>
      <c r="E50" s="3">
        <f>E46+E47+E48+E49</f>
        <v/>
      </c>
      <c r="F50" s="3">
        <f>F46+F47+F48+F49</f>
        <v/>
      </c>
      <c r="G50" s="3">
        <f>G46+G47+G48+G49</f>
        <v/>
      </c>
      <c r="H50" s="3">
        <f>H46+H47+H48+H49</f>
        <v/>
      </c>
      <c r="I50" s="3">
        <f>I46+I47+I48+I49</f>
        <v/>
      </c>
      <c r="J50" s="3">
        <f>J46+J47+J48+J49</f>
        <v/>
      </c>
      <c r="K50" s="3">
        <f>K46+K47+K48+K49</f>
        <v/>
      </c>
      <c r="L50" s="3">
        <f>L46+L47+L48+L49</f>
        <v/>
      </c>
    </row>
    <row r="51">
      <c r="B51" t="inlineStr">
        <is>
          <t>+ Restricted Cash &amp; Investments</t>
        </is>
      </c>
      <c r="C51" s="3" t="n">
        <v>64482</v>
      </c>
      <c r="D51" s="3" t="n">
        <v>61218</v>
      </c>
      <c r="E51" s="3" t="n">
        <v>68845</v>
      </c>
      <c r="F51" s="3" t="n">
        <v>71840</v>
      </c>
    </row>
    <row r="52">
      <c r="B52" t="inlineStr">
        <is>
          <t>+ Fixed Assets, net</t>
        </is>
      </c>
      <c r="C52" s="3" t="n">
        <v>127114</v>
      </c>
      <c r="D52" s="3" t="n">
        <v>149276</v>
      </c>
      <c r="E52" s="3" t="n">
        <v>191385</v>
      </c>
      <c r="F52" s="3" t="n">
        <v>186270</v>
      </c>
    </row>
    <row r="53">
      <c r="B53" t="inlineStr">
        <is>
          <t>+ Other Assets</t>
        </is>
      </c>
      <c r="C53" s="3" t="n">
        <v>156670</v>
      </c>
      <c r="D53" s="3" t="n">
        <v>172016</v>
      </c>
      <c r="E53" s="3" t="n">
        <v>236796</v>
      </c>
      <c r="F53" s="3" t="n">
        <v>258053</v>
      </c>
    </row>
    <row r="54">
      <c r="B54" t="inlineStr">
        <is>
          <t>+ Deferred Tax Assets</t>
        </is>
      </c>
      <c r="C54" s="3" t="n">
        <v>0</v>
      </c>
      <c r="D54" s="3" t="n">
        <v>0</v>
      </c>
      <c r="E54" s="3" t="n">
        <v>0</v>
      </c>
      <c r="F54" s="3" t="n">
        <v>25829</v>
      </c>
    </row>
    <row r="55">
      <c r="B55" t="inlineStr">
        <is>
          <t>+ Goodwill</t>
        </is>
      </c>
      <c r="C55" s="3" t="n">
        <v>892341</v>
      </c>
      <c r="D55" s="3" t="n">
        <v>935364</v>
      </c>
      <c r="E55" s="3" t="n">
        <v>1111549</v>
      </c>
      <c r="F55" s="3" t="n">
        <v>897456</v>
      </c>
    </row>
    <row r="56">
      <c r="B56" t="inlineStr">
        <is>
          <t>+ Intangible Assets, net</t>
        </is>
      </c>
      <c r="C56" s="3" t="n">
        <v>514460</v>
      </c>
      <c r="D56" s="3" t="n">
        <v>476832</v>
      </c>
      <c r="E56" s="3" t="n">
        <v>474134</v>
      </c>
      <c r="F56" s="3" t="n">
        <v>381364</v>
      </c>
    </row>
    <row r="57">
      <c r="B57" s="5" t="inlineStr">
        <is>
          <t>Total Assets</t>
        </is>
      </c>
      <c r="C57" s="3">
        <f>C50+C51+C52+C53+C54+C55+C56</f>
        <v/>
      </c>
      <c r="D57" s="3">
        <f>D50+D51+D52+D53+D54+D55+D56</f>
        <v/>
      </c>
      <c r="E57" s="3">
        <f>E50+E51+E52+E53+E54+E55+E56</f>
        <v/>
      </c>
      <c r="F57" s="3">
        <f>F50+F51+F52+F53+F54+F55+F56</f>
        <v/>
      </c>
      <c r="G57" s="3">
        <f>G50+G51+G52+G53+G54+G55+G56</f>
        <v/>
      </c>
      <c r="H57" s="3">
        <f>H50+H51+H52+H53+H54+H55+H56</f>
        <v/>
      </c>
      <c r="I57" s="3">
        <f>I50+I51+I52+I53+I54+I55+I56</f>
        <v/>
      </c>
      <c r="J57" s="3">
        <f>J50+J51+J52+J53+J54+J55+J56</f>
        <v/>
      </c>
      <c r="K57" s="3">
        <f>K50+K51+K52+K53+K54+K55+K56</f>
        <v/>
      </c>
      <c r="L57" s="3">
        <f>L50+L51+L52+L53+L54+L55+L56</f>
        <v/>
      </c>
    </row>
    <row r="59">
      <c r="B59" s="2" t="inlineStr">
        <is>
          <t>LIABILITIES &amp; SHAREHOLDERS' EQUITY</t>
        </is>
      </c>
    </row>
    <row r="60">
      <c r="B60" t="inlineStr">
        <is>
          <t>+ Accounts Payable &amp; Accrued</t>
        </is>
      </c>
      <c r="C60" s="3" t="n">
        <v>425257</v>
      </c>
      <c r="D60" s="3" t="n">
        <v>476452</v>
      </c>
      <c r="E60" s="3" t="n">
        <v>343847</v>
      </c>
      <c r="F60" s="3" t="n">
        <v>184311</v>
      </c>
    </row>
    <row r="61">
      <c r="B61" t="inlineStr">
        <is>
          <t>+ Accrued Compensation &amp; Benefits</t>
        </is>
      </c>
      <c r="C61" s="3" t="n">
        <v>354381</v>
      </c>
      <c r="D61" s="3" t="n">
        <v>333244</v>
      </c>
      <c r="E61" s="3" t="n">
        <v>278536</v>
      </c>
      <c r="F61" s="3" t="n">
        <v>287544</v>
      </c>
    </row>
    <row r="62">
      <c r="B62" t="inlineStr">
        <is>
          <t>+ Other Current Liabilities</t>
        </is>
      </c>
      <c r="C62" s="3" t="n">
        <v>189752</v>
      </c>
      <c r="D62" s="3" t="n">
        <v>48237</v>
      </c>
      <c r="E62" s="3" t="n">
        <v>33738</v>
      </c>
      <c r="F62" s="3" t="n">
        <v>73930</v>
      </c>
    </row>
    <row r="63">
      <c r="B63" s="5" t="inlineStr">
        <is>
          <t>Total Current Liabilities</t>
        </is>
      </c>
      <c r="C63" s="3">
        <f>C60+C61+C62</f>
        <v/>
      </c>
      <c r="D63" s="3">
        <f>D60+D61+D62</f>
        <v/>
      </c>
      <c r="E63" s="3">
        <f>E60+E61+E62</f>
        <v/>
      </c>
      <c r="F63" s="3">
        <f>F60+F61+F62</f>
        <v/>
      </c>
      <c r="G63" s="3">
        <f>G60+G61+G62</f>
        <v/>
      </c>
      <c r="H63" s="3">
        <f>H60+H61+H62</f>
        <v/>
      </c>
      <c r="I63" s="3">
        <f>I60+I61+I62</f>
        <v/>
      </c>
      <c r="J63" s="3">
        <f>J60+J61+J62</f>
        <v/>
      </c>
      <c r="K63" s="3">
        <f>K60+K61+K62</f>
        <v/>
      </c>
      <c r="L63" s="3">
        <f>L60+L61+L62</f>
        <v/>
      </c>
    </row>
    <row r="64">
      <c r="B64" t="inlineStr">
        <is>
          <t>+ Revolving Credit Facility</t>
        </is>
      </c>
      <c r="C64" s="3" t="n">
        <v>0</v>
      </c>
      <c r="D64" s="3" t="n">
        <v>0</v>
      </c>
      <c r="E64" s="3" t="n">
        <v>460000</v>
      </c>
      <c r="F64" s="3" t="n">
        <v>210000</v>
      </c>
    </row>
    <row r="65">
      <c r="B65" t="inlineStr">
        <is>
          <t>+ Notes Payable, net</t>
        </is>
      </c>
      <c r="C65" s="3" t="n">
        <v>842322</v>
      </c>
      <c r="D65" s="3" t="n">
        <v>843505</v>
      </c>
      <c r="E65" s="3" t="n">
        <v>844688</v>
      </c>
      <c r="F65" s="3" t="n">
        <v>845872</v>
      </c>
    </row>
    <row r="66">
      <c r="B66" t="inlineStr">
        <is>
          <t>+ Deferred Income Taxes</t>
        </is>
      </c>
      <c r="C66" s="3" t="n">
        <v>47814</v>
      </c>
      <c r="D66" s="3" t="n">
        <v>22713</v>
      </c>
      <c r="E66" s="3" t="n">
        <v>23350</v>
      </c>
      <c r="F66" s="3" t="n">
        <v>0</v>
      </c>
    </row>
    <row r="67">
      <c r="B67" t="inlineStr">
        <is>
          <t>+ Other Long-term Liabilities</t>
        </is>
      </c>
      <c r="C67" s="3" t="n">
        <v>110353</v>
      </c>
      <c r="D67" s="3" t="n">
        <v>120566</v>
      </c>
      <c r="E67" s="3" t="n">
        <v>108979</v>
      </c>
      <c r="F67" s="3" t="n">
        <v>107450</v>
      </c>
    </row>
    <row r="68">
      <c r="B68" s="5" t="inlineStr">
        <is>
          <t>Total Liabilities</t>
        </is>
      </c>
      <c r="C68" s="3">
        <f>C63+C64+C65+C66+C67</f>
        <v/>
      </c>
      <c r="D68" s="3">
        <f>D63+D64+D65+D66+D67</f>
        <v/>
      </c>
      <c r="E68" s="3">
        <f>E63+E64+E65+E66+E67</f>
        <v/>
      </c>
      <c r="F68" s="3">
        <f>F63+F64+F65+F66+F67</f>
        <v/>
      </c>
      <c r="G68" s="3">
        <f>G63+G64+G65+G66+G67</f>
        <v/>
      </c>
      <c r="H68" s="3">
        <f>H63+H64+H65+H66+H67</f>
        <v/>
      </c>
      <c r="I68" s="3">
        <f>I63+I64+I65+I66+I67</f>
        <v/>
      </c>
      <c r="J68" s="3">
        <f>J63+J64+J65+J66+J67</f>
        <v/>
      </c>
      <c r="K68" s="3">
        <f>K63+K64+K65+K66+K67</f>
        <v/>
      </c>
      <c r="L68" s="3">
        <f>L63+L64+L65+L66+L67</f>
        <v/>
      </c>
    </row>
    <row r="69">
      <c r="B69" s="5" t="inlineStr">
        <is>
          <t>Stockholders' Equity</t>
        </is>
      </c>
      <c r="C69" s="3">
        <f>C57-C68</f>
        <v/>
      </c>
      <c r="D69" s="3">
        <f>D57-D68</f>
        <v/>
      </c>
      <c r="E69" s="3">
        <f>E57-E68</f>
        <v/>
      </c>
      <c r="F69" s="3">
        <f>F57-F68</f>
        <v/>
      </c>
      <c r="G69" s="3">
        <f>G57-G68</f>
        <v/>
      </c>
      <c r="H69" s="3">
        <f>H57-H68</f>
        <v/>
      </c>
      <c r="I69" s="3">
        <f>I57-I68</f>
        <v/>
      </c>
      <c r="J69" s="3">
        <f>J57-J68</f>
        <v/>
      </c>
      <c r="K69" s="3">
        <f>K57-K68</f>
        <v/>
      </c>
      <c r="L69" s="3">
        <f>L57-L68</f>
        <v/>
      </c>
    </row>
    <row r="70">
      <c r="B70" s="5" t="inlineStr">
        <is>
          <t>Total Liabilities &amp; Equity</t>
        </is>
      </c>
      <c r="C70" s="3">
        <f>C68+C69</f>
        <v/>
      </c>
      <c r="D70" s="3">
        <f>D68+D69</f>
        <v/>
      </c>
      <c r="E70" s="3">
        <f>E68+E69</f>
        <v/>
      </c>
      <c r="F70" s="3">
        <f>F68+F69</f>
        <v/>
      </c>
      <c r="G70" s="3">
        <f>G68+G69</f>
        <v/>
      </c>
      <c r="H70" s="3">
        <f>H68+H69</f>
        <v/>
      </c>
      <c r="I70" s="3">
        <f>I68+I69</f>
        <v/>
      </c>
      <c r="J70" s="3">
        <f>J68+J69</f>
        <v/>
      </c>
      <c r="K70" s="3">
        <f>K68+K69</f>
        <v/>
      </c>
      <c r="L70" s="3">
        <f>L68+L69</f>
        <v/>
      </c>
    </row>
    <row r="72">
      <c r="B72" t="inlineStr">
        <is>
          <t>Check A=L+E</t>
        </is>
      </c>
      <c r="C72" s="3">
        <f>C57-C70</f>
        <v/>
      </c>
      <c r="D72" s="3">
        <f>D57-D70</f>
        <v/>
      </c>
      <c r="E72" s="3">
        <f>E57-E70</f>
        <v/>
      </c>
      <c r="F72" s="3">
        <f>F57-F70</f>
        <v/>
      </c>
      <c r="G72" s="3">
        <f>G57-G70</f>
        <v/>
      </c>
      <c r="H72" s="3">
        <f>H57-H70</f>
        <v/>
      </c>
      <c r="I72" s="3">
        <f>I57-I70</f>
        <v/>
      </c>
      <c r="J72" s="3">
        <f>J57-J70</f>
        <v/>
      </c>
      <c r="K72" s="3">
        <f>K57-K70</f>
        <v/>
      </c>
      <c r="L72" s="3">
        <f>L57-L70</f>
        <v/>
      </c>
    </row>
    <row r="75">
      <c r="A75" t="inlineStr">
        <is>
          <t>x</t>
        </is>
      </c>
      <c r="B75" s="2" t="inlineStr">
        <is>
          <t>INTEREST EXPENSE AND DEBT SCHEDULE</t>
        </is>
      </c>
      <c r="C75" s="2" t="inlineStr">
        <is>
          <t>FY 2021</t>
        </is>
      </c>
      <c r="D75" s="2" t="inlineStr">
        <is>
          <t>FY 2022</t>
        </is>
      </c>
      <c r="E75" s="2" t="inlineStr">
        <is>
          <t>FY 2023</t>
        </is>
      </c>
      <c r="F75" s="2" t="inlineStr">
        <is>
          <t>FY 2024</t>
        </is>
      </c>
      <c r="G75" s="2" t="inlineStr">
        <is>
          <t>FY 2025</t>
        </is>
      </c>
      <c r="H75" s="2" t="inlineStr">
        <is>
          <t>FY 2026</t>
        </is>
      </c>
      <c r="I75" s="2" t="inlineStr">
        <is>
          <t>FY 2027</t>
        </is>
      </c>
      <c r="J75" s="2" t="inlineStr">
        <is>
          <t>FY 2028</t>
        </is>
      </c>
      <c r="K75" s="2" t="inlineStr">
        <is>
          <t>FY 2029</t>
        </is>
      </c>
      <c r="L75" s="2" t="inlineStr">
        <is>
          <t>FY 2030</t>
        </is>
      </c>
    </row>
    <row r="76">
      <c r="B76" t="inlineStr">
        <is>
          <t>Interest Expense</t>
        </is>
      </c>
      <c r="C76" s="3">
        <f>C25</f>
        <v/>
      </c>
      <c r="D76" s="3">
        <f>D25</f>
        <v/>
      </c>
      <c r="E76" s="3">
        <f>E25</f>
        <v/>
      </c>
      <c r="F76" s="3">
        <f>F25</f>
        <v/>
      </c>
      <c r="G76" s="3">
        <f>G25</f>
        <v/>
      </c>
      <c r="H76" s="3">
        <f>H25</f>
        <v/>
      </c>
      <c r="I76" s="3">
        <f>I25</f>
        <v/>
      </c>
      <c r="J76" s="3">
        <f>J25</f>
        <v/>
      </c>
      <c r="K76" s="3">
        <f>K25</f>
        <v/>
      </c>
      <c r="L76" s="3">
        <f>L25</f>
        <v/>
      </c>
    </row>
    <row r="77">
      <c r="B77" t="inlineStr">
        <is>
          <t>Total Debt</t>
        </is>
      </c>
      <c r="C77" s="3">
        <f>C64+C65</f>
        <v/>
      </c>
      <c r="D77" s="3">
        <f>D64+D65</f>
        <v/>
      </c>
      <c r="E77" s="3">
        <f>E64+E65</f>
        <v/>
      </c>
      <c r="F77" s="3">
        <f>F64+F65</f>
        <v/>
      </c>
      <c r="G77" s="3">
        <f>G64+G65</f>
        <v/>
      </c>
      <c r="H77" s="3">
        <f>H64+H65</f>
        <v/>
      </c>
      <c r="I77" s="3">
        <f>I64+I65</f>
        <v/>
      </c>
      <c r="J77" s="3">
        <f>J64+J65</f>
        <v/>
      </c>
      <c r="K77" s="3">
        <f>K64+K65</f>
        <v/>
      </c>
      <c r="L77" s="3">
        <f>L64+L65</f>
        <v/>
      </c>
    </row>
    <row r="78">
      <c r="B78" t="inlineStr">
        <is>
          <t>Implied Interest Rate</t>
        </is>
      </c>
      <c r="C78" s="4">
        <f>IF(C77&gt;0,C76/C77,0)</f>
        <v/>
      </c>
      <c r="D78" s="4">
        <f>IF(D77&gt;0,D76/D77,0)</f>
        <v/>
      </c>
      <c r="E78" s="4">
        <f>IF(E77&gt;0,E76/E77,0)</f>
        <v/>
      </c>
      <c r="F78" s="4">
        <f>IF(F77&gt;0,F76/F77,0)</f>
        <v/>
      </c>
      <c r="G78" s="4">
        <f>IF(G77&gt;0,G76/G77,0)</f>
        <v/>
      </c>
      <c r="H78" s="4">
        <f>IF(H77&gt;0,H76/H77,0)</f>
        <v/>
      </c>
      <c r="I78" s="4">
        <f>IF(I77&gt;0,I76/I77,0)</f>
        <v/>
      </c>
      <c r="J78" s="4">
        <f>IF(J77&gt;0,J76/J77,0)</f>
        <v/>
      </c>
      <c r="K78" s="4">
        <f>IF(K77&gt;0,K76/K77,0)</f>
        <v/>
      </c>
      <c r="L78" s="4">
        <f>IF(L77&gt;0,L76/L77,0)</f>
        <v/>
      </c>
    </row>
    <row r="79">
      <c r="B79" t="inlineStr">
        <is>
          <t>Debt / EBITDA</t>
        </is>
      </c>
      <c r="C79" s="8">
        <f>IF(C31&gt;0,C77/C31,0)</f>
        <v/>
      </c>
      <c r="D79" s="8">
        <f>IF(D31&gt;0,D77/D31,0)</f>
        <v/>
      </c>
      <c r="E79" s="8">
        <f>IF(E31&gt;0,E77/E31,0)</f>
        <v/>
      </c>
      <c r="F79" s="8">
        <f>IF(F31&gt;0,F77/F31,0)</f>
        <v/>
      </c>
      <c r="G79" s="8">
        <f>IF(G31&gt;0,G77/G31,0)</f>
        <v/>
      </c>
      <c r="H79" s="8">
        <f>IF(H31&gt;0,H77/H31,0)</f>
        <v/>
      </c>
      <c r="I79" s="8">
        <f>IF(I31&gt;0,I77/I31,0)</f>
        <v/>
      </c>
      <c r="J79" s="8">
        <f>IF(J31&gt;0,J77/J31,0)</f>
        <v/>
      </c>
      <c r="K79" s="8">
        <f>IF(K31&gt;0,K77/K31,0)</f>
        <v/>
      </c>
      <c r="L79" s="8">
        <f>IF(L31&gt;0,L77/L31,0)</f>
        <v/>
      </c>
    </row>
    <row r="82">
      <c r="A82" t="inlineStr">
        <is>
          <t>x</t>
        </is>
      </c>
      <c r="B82" s="2" t="inlineStr">
        <is>
          <t>PPE AND CAPEX SCHEDULE</t>
        </is>
      </c>
      <c r="D82" s="2" t="inlineStr">
        <is>
          <t>FY 2022</t>
        </is>
      </c>
      <c r="E82" s="2" t="inlineStr">
        <is>
          <t>FY 2023</t>
        </is>
      </c>
      <c r="F82" s="2" t="inlineStr">
        <is>
          <t>FY 2024</t>
        </is>
      </c>
    </row>
    <row r="83">
      <c r="B83" t="inlineStr">
        <is>
          <t>CapEx (implied)</t>
        </is>
      </c>
      <c r="D83" s="3">
        <f>D52-C52+D22</f>
        <v/>
      </c>
      <c r="E83" s="3">
        <f>E52-D52+E22</f>
        <v/>
      </c>
      <c r="F83" s="3">
        <f>F52-E52+F22</f>
        <v/>
      </c>
    </row>
    <row r="84">
      <c r="B84" t="inlineStr">
        <is>
          <t>Revenue</t>
        </is>
      </c>
      <c r="D84" s="3">
        <f>D16</f>
        <v/>
      </c>
      <c r="E84" s="3">
        <f>E16</f>
        <v/>
      </c>
      <c r="F84" s="3">
        <f>F16</f>
        <v/>
      </c>
    </row>
    <row r="85">
      <c r="B85" s="6" t="inlineStr">
        <is>
          <t>CapEx as % of Revenue</t>
        </is>
      </c>
      <c r="D85" s="7">
        <f>D83/D84</f>
        <v/>
      </c>
      <c r="E85" s="7">
        <f>E83/E84</f>
        <v/>
      </c>
      <c r="F85" s="7">
        <f>F83/F84</f>
        <v/>
      </c>
    </row>
    <row r="87">
      <c r="B87" t="inlineStr">
        <is>
          <t>Depreciation &amp; Amortization</t>
        </is>
      </c>
      <c r="D87" s="3">
        <f>D22</f>
        <v/>
      </c>
      <c r="E87" s="3">
        <f>E22</f>
        <v/>
      </c>
      <c r="F87" s="3">
        <f>F22</f>
        <v/>
      </c>
    </row>
    <row r="88">
      <c r="B88" s="6" t="inlineStr">
        <is>
          <t>D&amp;A as % of Revenue</t>
        </is>
      </c>
      <c r="D88" s="7">
        <f>D87/D84</f>
        <v/>
      </c>
      <c r="E88" s="7">
        <f>E87/E84</f>
        <v/>
      </c>
      <c r="F88" s="7">
        <f>F87/F84</f>
        <v/>
      </c>
    </row>
    <row r="91">
      <c r="B91" s="2" t="inlineStr">
        <is>
          <t>COMMON SIZE BALANCE SHEET</t>
        </is>
      </c>
    </row>
    <row r="92">
      <c r="A92" t="inlineStr">
        <is>
          <t>x</t>
        </is>
      </c>
      <c r="B92" s="2" t="inlineStr">
        <is>
          <t>Balance Sheet Items as % of Revenue</t>
        </is>
      </c>
      <c r="C92" s="2" t="inlineStr">
        <is>
          <t>FY 2021</t>
        </is>
      </c>
      <c r="D92" s="2" t="inlineStr">
        <is>
          <t>FY 2022</t>
        </is>
      </c>
      <c r="E92" s="2" t="inlineStr">
        <is>
          <t>FY 2023</t>
        </is>
      </c>
      <c r="F92" s="2" t="inlineStr">
        <is>
          <t>FY 2024</t>
        </is>
      </c>
      <c r="G92" s="2" t="inlineStr">
        <is>
          <t>FY 2025</t>
        </is>
      </c>
      <c r="H92" s="2" t="inlineStr">
        <is>
          <t>FY 2026</t>
        </is>
      </c>
      <c r="I92" s="2" t="inlineStr">
        <is>
          <t>FY 2027</t>
        </is>
      </c>
      <c r="J92" s="2" t="inlineStr">
        <is>
          <t>FY 2028</t>
        </is>
      </c>
      <c r="K92" s="2" t="inlineStr">
        <is>
          <t>FY 2029</t>
        </is>
      </c>
      <c r="L92" s="2" t="inlineStr">
        <is>
          <t>FY 2030</t>
        </is>
      </c>
    </row>
    <row r="93">
      <c r="B93" s="2" t="inlineStr">
        <is>
          <t>ASSETS</t>
        </is>
      </c>
    </row>
    <row r="94">
      <c r="B94" t="inlineStr">
        <is>
          <t>+ Cash and Cash Equivalents</t>
        </is>
      </c>
      <c r="C94" s="4">
        <f>IF(C16&gt;0,C46/C16,"")</f>
        <v/>
      </c>
      <c r="D94" s="4">
        <f>IF(D16&gt;0,D46/D16,"")</f>
        <v/>
      </c>
      <c r="E94" s="4">
        <f>IF(E16&gt;0,E46/E16,"")</f>
        <v/>
      </c>
      <c r="F94" s="4">
        <f>IF(F16&gt;0,F46/F16,"")</f>
        <v/>
      </c>
      <c r="G94" s="4">
        <f>IF(G16&gt;0,G46/G16,"")</f>
        <v/>
      </c>
      <c r="H94" s="4">
        <f>IF(H16&gt;0,H46/H16,"")</f>
        <v/>
      </c>
      <c r="I94" s="4">
        <f>IF(I16&gt;0,I46/I16,"")</f>
        <v/>
      </c>
      <c r="J94" s="4">
        <f>IF(J16&gt;0,J46/J16,"")</f>
        <v/>
      </c>
      <c r="K94" s="4">
        <f>IF(K16&gt;0,K46/K16,"")</f>
        <v/>
      </c>
      <c r="L94" s="4">
        <f>IF(L16&gt;0,L46/L16,"")</f>
        <v/>
      </c>
    </row>
    <row r="95">
      <c r="B95" t="inlineStr">
        <is>
          <t>+ Accounts Receivable, net</t>
        </is>
      </c>
      <c r="C95" s="4">
        <f>IF(C16&gt;0,C47/C16,"")</f>
        <v/>
      </c>
      <c r="D95" s="4">
        <f>IF(D16&gt;0,D47/D16,"")</f>
        <v/>
      </c>
      <c r="E95" s="4">
        <f>IF(E16&gt;0,E47/E16,"")</f>
        <v/>
      </c>
      <c r="F95" s="4">
        <f>IF(F16&gt;0,F47/F16,"")</f>
        <v/>
      </c>
      <c r="G95" s="4">
        <f>IF(G16&gt;0,G47/G16,"")</f>
        <v/>
      </c>
      <c r="H95" s="4">
        <f>IF(H16&gt;0,H47/H16,"")</f>
        <v/>
      </c>
      <c r="I95" s="4">
        <f>IF(I16&gt;0,I47/I16,"")</f>
        <v/>
      </c>
      <c r="J95" s="4">
        <f>IF(J16&gt;0,J47/J16,"")</f>
        <v/>
      </c>
      <c r="K95" s="4">
        <f>IF(K16&gt;0,K47/K16,"")</f>
        <v/>
      </c>
      <c r="L95" s="4">
        <f>IF(L16&gt;0,L47/L16,"")</f>
        <v/>
      </c>
    </row>
    <row r="96">
      <c r="B96" t="inlineStr">
        <is>
          <t>+ Subcontractor Receivables</t>
        </is>
      </c>
      <c r="C96" s="4">
        <f>IF(C16&gt;0,C48/C16,"")</f>
        <v/>
      </c>
      <c r="D96" s="4">
        <f>IF(D16&gt;0,D48/D16,"")</f>
        <v/>
      </c>
      <c r="E96" s="4">
        <f>IF(E16&gt;0,E48/E16,"")</f>
        <v/>
      </c>
      <c r="F96" s="4">
        <f>IF(F16&gt;0,F48/F16,"")</f>
        <v/>
      </c>
      <c r="G96" s="4">
        <f>IF(G16&gt;0,G48/G16,"")</f>
        <v/>
      </c>
      <c r="H96" s="4">
        <f>IF(H16&gt;0,H48/H16,"")</f>
        <v/>
      </c>
      <c r="I96" s="4">
        <f>IF(I16&gt;0,I48/I16,"")</f>
        <v/>
      </c>
      <c r="J96" s="4">
        <f>IF(J16&gt;0,J48/J16,"")</f>
        <v/>
      </c>
      <c r="K96" s="4">
        <f>IF(K16&gt;0,K48/K16,"")</f>
        <v/>
      </c>
      <c r="L96" s="4">
        <f>IF(L16&gt;0,L48/L16,"")</f>
        <v/>
      </c>
    </row>
    <row r="97">
      <c r="B97" t="inlineStr">
        <is>
          <t>+ Prepaid &amp; Other Current</t>
        </is>
      </c>
      <c r="C97" s="4">
        <f>IF(C16&gt;0,C49/C16,"")</f>
        <v/>
      </c>
      <c r="D97" s="4">
        <f>IF(D16&gt;0,D49/D16,"")</f>
        <v/>
      </c>
      <c r="E97" s="4">
        <f>IF(E16&gt;0,E49/E16,"")</f>
        <v/>
      </c>
      <c r="F97" s="4">
        <f>IF(F16&gt;0,F49/F16,"")</f>
        <v/>
      </c>
      <c r="G97" s="4">
        <f>IF(G16&gt;0,G49/G16,"")</f>
        <v/>
      </c>
      <c r="H97" s="4">
        <f>IF(H16&gt;0,H49/H16,"")</f>
        <v/>
      </c>
      <c r="I97" s="4">
        <f>IF(I16&gt;0,I49/I16,"")</f>
        <v/>
      </c>
      <c r="J97" s="4">
        <f>IF(J16&gt;0,J49/J16,"")</f>
        <v/>
      </c>
      <c r="K97" s="4">
        <f>IF(K16&gt;0,K49/K16,"")</f>
        <v/>
      </c>
      <c r="L97" s="4">
        <f>IF(L16&gt;0,L49/L16,"")</f>
        <v/>
      </c>
    </row>
    <row r="98">
      <c r="B98" s="5" t="inlineStr">
        <is>
          <t>Total Current Assets</t>
        </is>
      </c>
      <c r="C98" s="4">
        <f>IF(C16&gt;0,C50/C16,"")</f>
        <v/>
      </c>
      <c r="D98" s="4">
        <f>IF(D16&gt;0,D50/D16,"")</f>
        <v/>
      </c>
      <c r="E98" s="4">
        <f>IF(E16&gt;0,E50/E16,"")</f>
        <v/>
      </c>
      <c r="F98" s="4">
        <f>IF(F16&gt;0,F50/F16,"")</f>
        <v/>
      </c>
      <c r="G98" s="4">
        <f>IF(G16&gt;0,G50/G16,"")</f>
        <v/>
      </c>
      <c r="H98" s="4">
        <f>IF(H16&gt;0,H50/H16,"")</f>
        <v/>
      </c>
      <c r="I98" s="4">
        <f>IF(I16&gt;0,I50/I16,"")</f>
        <v/>
      </c>
      <c r="J98" s="4">
        <f>IF(J16&gt;0,J50/J16,"")</f>
        <v/>
      </c>
      <c r="K98" s="4">
        <f>IF(K16&gt;0,K50/K16,"")</f>
        <v/>
      </c>
      <c r="L98" s="4">
        <f>IF(L16&gt;0,L50/L16,"")</f>
        <v/>
      </c>
    </row>
    <row r="99">
      <c r="B99" t="inlineStr">
        <is>
          <t>+ Restricted Cash &amp; Investments</t>
        </is>
      </c>
      <c r="C99" s="4">
        <f>IF(C16&gt;0,C51/C16,"")</f>
        <v/>
      </c>
      <c r="D99" s="4">
        <f>IF(D16&gt;0,D51/D16,"")</f>
        <v/>
      </c>
      <c r="E99" s="4">
        <f>IF(E16&gt;0,E51/E16,"")</f>
        <v/>
      </c>
      <c r="F99" s="4">
        <f>IF(F16&gt;0,F51/F16,"")</f>
        <v/>
      </c>
      <c r="G99" s="4">
        <f>IF(G16&gt;0,G51/G16,"")</f>
        <v/>
      </c>
      <c r="H99" s="4">
        <f>IF(H16&gt;0,H51/H16,"")</f>
        <v/>
      </c>
      <c r="I99" s="4">
        <f>IF(I16&gt;0,I51/I16,"")</f>
        <v/>
      </c>
      <c r="J99" s="4">
        <f>IF(J16&gt;0,J51/J16,"")</f>
        <v/>
      </c>
      <c r="K99" s="4">
        <f>IF(K16&gt;0,K51/K16,"")</f>
        <v/>
      </c>
      <c r="L99" s="4">
        <f>IF(L16&gt;0,L51/L16,"")</f>
        <v/>
      </c>
    </row>
    <row r="100">
      <c r="B100" t="inlineStr">
        <is>
          <t>+ Fixed Assets, net</t>
        </is>
      </c>
      <c r="C100" s="4">
        <f>IF(C16&gt;0,C52/C16,"")</f>
        <v/>
      </c>
      <c r="D100" s="4">
        <f>IF(D16&gt;0,D52/D16,"")</f>
        <v/>
      </c>
      <c r="E100" s="4">
        <f>IF(E16&gt;0,E52/E16,"")</f>
        <v/>
      </c>
      <c r="F100" s="4">
        <f>IF(F16&gt;0,F52/F16,"")</f>
        <v/>
      </c>
      <c r="G100" s="4">
        <f>IF(G16&gt;0,G52/G16,"")</f>
        <v/>
      </c>
      <c r="H100" s="4">
        <f>IF(H16&gt;0,H52/H16,"")</f>
        <v/>
      </c>
      <c r="I100" s="4">
        <f>IF(I16&gt;0,I52/I16,"")</f>
        <v/>
      </c>
      <c r="J100" s="4">
        <f>IF(J16&gt;0,J52/J16,"")</f>
        <v/>
      </c>
      <c r="K100" s="4">
        <f>IF(K16&gt;0,K52/K16,"")</f>
        <v/>
      </c>
      <c r="L100" s="4">
        <f>IF(L16&gt;0,L52/L16,"")</f>
        <v/>
      </c>
    </row>
    <row r="101">
      <c r="B101" t="inlineStr">
        <is>
          <t>+ Other Assets</t>
        </is>
      </c>
      <c r="C101" s="4">
        <f>IF(C16&gt;0,C53/C16,"")</f>
        <v/>
      </c>
      <c r="D101" s="4">
        <f>IF(D16&gt;0,D53/D16,"")</f>
        <v/>
      </c>
      <c r="E101" s="4">
        <f>IF(E16&gt;0,E53/E16,"")</f>
        <v/>
      </c>
      <c r="F101" s="4">
        <f>IF(F16&gt;0,F53/F16,"")</f>
        <v/>
      </c>
      <c r="G101" s="4">
        <f>IF(G16&gt;0,G53/G16,"")</f>
        <v/>
      </c>
      <c r="H101" s="4">
        <f>IF(H16&gt;0,H53/H16,"")</f>
        <v/>
      </c>
      <c r="I101" s="4">
        <f>IF(I16&gt;0,I53/I16,"")</f>
        <v/>
      </c>
      <c r="J101" s="4">
        <f>IF(J16&gt;0,J53/J16,"")</f>
        <v/>
      </c>
      <c r="K101" s="4">
        <f>IF(K16&gt;0,K53/K16,"")</f>
        <v/>
      </c>
      <c r="L101" s="4">
        <f>IF(L16&gt;0,L53/L16,"")</f>
        <v/>
      </c>
    </row>
    <row r="102">
      <c r="B102" t="inlineStr">
        <is>
          <t>+ Deferred Tax Assets</t>
        </is>
      </c>
      <c r="C102" s="4">
        <f>IF(C16&gt;0,C54/C16,"")</f>
        <v/>
      </c>
      <c r="D102" s="4">
        <f>IF(D16&gt;0,D54/D16,"")</f>
        <v/>
      </c>
      <c r="E102" s="4">
        <f>IF(E16&gt;0,E54/E16,"")</f>
        <v/>
      </c>
      <c r="F102" s="4">
        <f>IF(F16&gt;0,F54/F16,"")</f>
        <v/>
      </c>
      <c r="G102" s="4">
        <f>IF(G16&gt;0,G54/G16,"")</f>
        <v/>
      </c>
      <c r="H102" s="4">
        <f>IF(H16&gt;0,H54/H16,"")</f>
        <v/>
      </c>
      <c r="I102" s="4">
        <f>IF(I16&gt;0,I54/I16,"")</f>
        <v/>
      </c>
      <c r="J102" s="4">
        <f>IF(J16&gt;0,J54/J16,"")</f>
        <v/>
      </c>
      <c r="K102" s="4">
        <f>IF(K16&gt;0,K54/K16,"")</f>
        <v/>
      </c>
      <c r="L102" s="4">
        <f>IF(L16&gt;0,L54/L16,"")</f>
        <v/>
      </c>
    </row>
    <row r="103">
      <c r="B103" t="inlineStr">
        <is>
          <t>+ Goodwill</t>
        </is>
      </c>
      <c r="C103" s="4">
        <f>IF(C16&gt;0,C55/C16,"")</f>
        <v/>
      </c>
      <c r="D103" s="4">
        <f>IF(D16&gt;0,D55/D16,"")</f>
        <v/>
      </c>
      <c r="E103" s="4">
        <f>IF(E16&gt;0,E55/E16,"")</f>
        <v/>
      </c>
      <c r="F103" s="4">
        <f>IF(F16&gt;0,F55/F16,"")</f>
        <v/>
      </c>
      <c r="G103" s="4">
        <f>IF(G16&gt;0,G55/G16,"")</f>
        <v/>
      </c>
      <c r="H103" s="4">
        <f>IF(H16&gt;0,H55/H16,"")</f>
        <v/>
      </c>
      <c r="I103" s="4">
        <f>IF(I16&gt;0,I55/I16,"")</f>
        <v/>
      </c>
      <c r="J103" s="4">
        <f>IF(J16&gt;0,J55/J16,"")</f>
        <v/>
      </c>
      <c r="K103" s="4">
        <f>IF(K16&gt;0,K55/K16,"")</f>
        <v/>
      </c>
      <c r="L103" s="4">
        <f>IF(L16&gt;0,L55/L16,"")</f>
        <v/>
      </c>
    </row>
    <row r="104">
      <c r="B104" t="inlineStr">
        <is>
          <t>+ Intangible Assets, net</t>
        </is>
      </c>
      <c r="C104" s="4">
        <f>IF(C16&gt;0,C56/C16,"")</f>
        <v/>
      </c>
      <c r="D104" s="4">
        <f>IF(D16&gt;0,D56/D16,"")</f>
        <v/>
      </c>
      <c r="E104" s="4">
        <f>IF(E16&gt;0,E56/E16,"")</f>
        <v/>
      </c>
      <c r="F104" s="4">
        <f>IF(F16&gt;0,F56/F16,"")</f>
        <v/>
      </c>
      <c r="G104" s="4">
        <f>IF(G16&gt;0,G56/G16,"")</f>
        <v/>
      </c>
      <c r="H104" s="4">
        <f>IF(H16&gt;0,H56/H16,"")</f>
        <v/>
      </c>
      <c r="I104" s="4">
        <f>IF(I16&gt;0,I56/I16,"")</f>
        <v/>
      </c>
      <c r="J104" s="4">
        <f>IF(J16&gt;0,J56/J16,"")</f>
        <v/>
      </c>
      <c r="K104" s="4">
        <f>IF(K16&gt;0,K56/K16,"")</f>
        <v/>
      </c>
      <c r="L104" s="4">
        <f>IF(L16&gt;0,L56/L16,"")</f>
        <v/>
      </c>
    </row>
    <row r="105">
      <c r="B105" s="5" t="inlineStr">
        <is>
          <t>Total Assets</t>
        </is>
      </c>
      <c r="C105" s="4">
        <f>IF(C16&gt;0,C57/C16,"")</f>
        <v/>
      </c>
      <c r="D105" s="4">
        <f>IF(D16&gt;0,D57/D16,"")</f>
        <v/>
      </c>
      <c r="E105" s="4">
        <f>IF(E16&gt;0,E57/E16,"")</f>
        <v/>
      </c>
      <c r="F105" s="4">
        <f>IF(F16&gt;0,F57/F16,"")</f>
        <v/>
      </c>
      <c r="G105" s="4">
        <f>IF(G16&gt;0,G57/G16,"")</f>
        <v/>
      </c>
      <c r="H105" s="4">
        <f>IF(H16&gt;0,H57/H16,"")</f>
        <v/>
      </c>
      <c r="I105" s="4">
        <f>IF(I16&gt;0,I57/I16,"")</f>
        <v/>
      </c>
      <c r="J105" s="4">
        <f>IF(J16&gt;0,J57/J16,"")</f>
        <v/>
      </c>
      <c r="K105" s="4">
        <f>IF(K16&gt;0,K57/K16,"")</f>
        <v/>
      </c>
      <c r="L105" s="4">
        <f>IF(L16&gt;0,L57/L16,"")</f>
        <v/>
      </c>
    </row>
    <row r="107">
      <c r="B107" s="2" t="inlineStr">
        <is>
          <t>LIABILITIES &amp; EQUITY</t>
        </is>
      </c>
    </row>
    <row r="108">
      <c r="B108" t="inlineStr">
        <is>
          <t>+ Accounts Payable &amp; Accrued</t>
        </is>
      </c>
      <c r="C108" s="4">
        <f>IF(C16&gt;0,C60/C16,"")</f>
        <v/>
      </c>
      <c r="D108" s="4">
        <f>IF(D16&gt;0,D60/D16,"")</f>
        <v/>
      </c>
      <c r="E108" s="4">
        <f>IF(E16&gt;0,E60/E16,"")</f>
        <v/>
      </c>
      <c r="F108" s="4">
        <f>IF(F16&gt;0,F60/F16,"")</f>
        <v/>
      </c>
      <c r="G108" s="4">
        <f>IF(G16&gt;0,G60/G16,"")</f>
        <v/>
      </c>
      <c r="H108" s="4">
        <f>IF(H16&gt;0,H60/H16,"")</f>
        <v/>
      </c>
      <c r="I108" s="4">
        <f>IF(I16&gt;0,I60/I16,"")</f>
        <v/>
      </c>
      <c r="J108" s="4">
        <f>IF(J16&gt;0,J60/J16,"")</f>
        <v/>
      </c>
      <c r="K108" s="4">
        <f>IF(K16&gt;0,K60/K16,"")</f>
        <v/>
      </c>
      <c r="L108" s="4">
        <f>IF(L16&gt;0,L60/L16,"")</f>
        <v/>
      </c>
    </row>
    <row r="109">
      <c r="B109" t="inlineStr">
        <is>
          <t>+ Accrued Compensation &amp; Benefits</t>
        </is>
      </c>
      <c r="C109" s="4">
        <f>IF(C16&gt;0,C61/C16,"")</f>
        <v/>
      </c>
      <c r="D109" s="4">
        <f>IF(D16&gt;0,D61/D16,"")</f>
        <v/>
      </c>
      <c r="E109" s="4">
        <f>IF(E16&gt;0,E61/E16,"")</f>
        <v/>
      </c>
      <c r="F109" s="4">
        <f>IF(F16&gt;0,F61/F16,"")</f>
        <v/>
      </c>
      <c r="G109" s="4">
        <f>IF(G16&gt;0,G61/G16,"")</f>
        <v/>
      </c>
      <c r="H109" s="4">
        <f>IF(H16&gt;0,H61/H16,"")</f>
        <v/>
      </c>
      <c r="I109" s="4">
        <f>IF(I16&gt;0,I61/I16,"")</f>
        <v/>
      </c>
      <c r="J109" s="4">
        <f>IF(J16&gt;0,J61/J16,"")</f>
        <v/>
      </c>
      <c r="K109" s="4">
        <f>IF(K16&gt;0,K61/K16,"")</f>
        <v/>
      </c>
      <c r="L109" s="4">
        <f>IF(L16&gt;0,L61/L16,"")</f>
        <v/>
      </c>
    </row>
    <row r="110">
      <c r="B110" t="inlineStr">
        <is>
          <t>+ Other Current Liabilities</t>
        </is>
      </c>
      <c r="C110" s="4">
        <f>IF(C16&gt;0,C62/C16,"")</f>
        <v/>
      </c>
      <c r="D110" s="4">
        <f>IF(D16&gt;0,D62/D16,"")</f>
        <v/>
      </c>
      <c r="E110" s="4">
        <f>IF(E16&gt;0,E62/E16,"")</f>
        <v/>
      </c>
      <c r="F110" s="4">
        <f>IF(F16&gt;0,F62/F16,"")</f>
        <v/>
      </c>
      <c r="G110" s="4">
        <f>IF(G16&gt;0,G62/G16,"")</f>
        <v/>
      </c>
      <c r="H110" s="4">
        <f>IF(H16&gt;0,H62/H16,"")</f>
        <v/>
      </c>
      <c r="I110" s="4">
        <f>IF(I16&gt;0,I62/I16,"")</f>
        <v/>
      </c>
      <c r="J110" s="4">
        <f>IF(J16&gt;0,J62/J16,"")</f>
        <v/>
      </c>
      <c r="K110" s="4">
        <f>IF(K16&gt;0,K62/K16,"")</f>
        <v/>
      </c>
      <c r="L110" s="4">
        <f>IF(L16&gt;0,L62/L16,"")</f>
        <v/>
      </c>
    </row>
    <row r="111">
      <c r="B111" s="5" t="inlineStr">
        <is>
          <t>Total Current Liabilities</t>
        </is>
      </c>
      <c r="C111" s="4">
        <f>IF(C16&gt;0,C63/C16,"")</f>
        <v/>
      </c>
      <c r="D111" s="4">
        <f>IF(D16&gt;0,D63/D16,"")</f>
        <v/>
      </c>
      <c r="E111" s="4">
        <f>IF(E16&gt;0,E63/E16,"")</f>
        <v/>
      </c>
      <c r="F111" s="4">
        <f>IF(F16&gt;0,F63/F16,"")</f>
        <v/>
      </c>
      <c r="G111" s="4">
        <f>IF(G16&gt;0,G63/G16,"")</f>
        <v/>
      </c>
      <c r="H111" s="4">
        <f>IF(H16&gt;0,H63/H16,"")</f>
        <v/>
      </c>
      <c r="I111" s="4">
        <f>IF(I16&gt;0,I63/I16,"")</f>
        <v/>
      </c>
      <c r="J111" s="4">
        <f>IF(J16&gt;0,J63/J16,"")</f>
        <v/>
      </c>
      <c r="K111" s="4">
        <f>IF(K16&gt;0,K63/K16,"")</f>
        <v/>
      </c>
      <c r="L111" s="4">
        <f>IF(L16&gt;0,L63/L16,"")</f>
        <v/>
      </c>
    </row>
    <row r="112">
      <c r="B112" t="inlineStr">
        <is>
          <t>+ Revolving Credit Facility</t>
        </is>
      </c>
      <c r="C112" s="4">
        <f>IF(C16&gt;0,C64/C16,"")</f>
        <v/>
      </c>
      <c r="D112" s="4">
        <f>IF(D16&gt;0,D64/D16,"")</f>
        <v/>
      </c>
      <c r="E112" s="4">
        <f>IF(E16&gt;0,E64/E16,"")</f>
        <v/>
      </c>
      <c r="F112" s="4">
        <f>IF(F16&gt;0,F64/F16,"")</f>
        <v/>
      </c>
      <c r="G112" s="4">
        <f>IF(G16&gt;0,G64/G16,"")</f>
        <v/>
      </c>
      <c r="H112" s="4">
        <f>IF(H16&gt;0,H64/H16,"")</f>
        <v/>
      </c>
      <c r="I112" s="4">
        <f>IF(I16&gt;0,I64/I16,"")</f>
        <v/>
      </c>
      <c r="J112" s="4">
        <f>IF(J16&gt;0,J64/J16,"")</f>
        <v/>
      </c>
      <c r="K112" s="4">
        <f>IF(K16&gt;0,K64/K16,"")</f>
        <v/>
      </c>
      <c r="L112" s="4">
        <f>IF(L16&gt;0,L64/L16,"")</f>
        <v/>
      </c>
    </row>
    <row r="113">
      <c r="B113" t="inlineStr">
        <is>
          <t>+ Notes Payable, net</t>
        </is>
      </c>
      <c r="C113" s="4">
        <f>IF(C16&gt;0,C65/C16,"")</f>
        <v/>
      </c>
      <c r="D113" s="4">
        <f>IF(D16&gt;0,D65/D16,"")</f>
        <v/>
      </c>
      <c r="E113" s="4">
        <f>IF(E16&gt;0,E65/E16,"")</f>
        <v/>
      </c>
      <c r="F113" s="4">
        <f>IF(F16&gt;0,F65/F16,"")</f>
        <v/>
      </c>
      <c r="G113" s="4">
        <f>IF(G16&gt;0,G65/G16,"")</f>
        <v/>
      </c>
      <c r="H113" s="4">
        <f>IF(H16&gt;0,H65/H16,"")</f>
        <v/>
      </c>
      <c r="I113" s="4">
        <f>IF(I16&gt;0,I65/I16,"")</f>
        <v/>
      </c>
      <c r="J113" s="4">
        <f>IF(J16&gt;0,J65/J16,"")</f>
        <v/>
      </c>
      <c r="K113" s="4">
        <f>IF(K16&gt;0,K65/K16,"")</f>
        <v/>
      </c>
      <c r="L113" s="4">
        <f>IF(L16&gt;0,L65/L16,"")</f>
        <v/>
      </c>
    </row>
    <row r="114">
      <c r="B114" t="inlineStr">
        <is>
          <t>+ Deferred Income Taxes</t>
        </is>
      </c>
      <c r="C114" s="4">
        <f>IF(C16&gt;0,C66/C16,"")</f>
        <v/>
      </c>
      <c r="D114" s="4">
        <f>IF(D16&gt;0,D66/D16,"")</f>
        <v/>
      </c>
      <c r="E114" s="4">
        <f>IF(E16&gt;0,E66/E16,"")</f>
        <v/>
      </c>
      <c r="F114" s="4">
        <f>IF(F16&gt;0,F66/F16,"")</f>
        <v/>
      </c>
      <c r="G114" s="4">
        <f>IF(G16&gt;0,G66/G16,"")</f>
        <v/>
      </c>
      <c r="H114" s="4">
        <f>IF(H16&gt;0,H66/H16,"")</f>
        <v/>
      </c>
      <c r="I114" s="4">
        <f>IF(I16&gt;0,I66/I16,"")</f>
        <v/>
      </c>
      <c r="J114" s="4">
        <f>IF(J16&gt;0,J66/J16,"")</f>
        <v/>
      </c>
      <c r="K114" s="4">
        <f>IF(K16&gt;0,K66/K16,"")</f>
        <v/>
      </c>
      <c r="L114" s="4">
        <f>IF(L16&gt;0,L66/L16,"")</f>
        <v/>
      </c>
    </row>
    <row r="115">
      <c r="B115" t="inlineStr">
        <is>
          <t>+ Other Long-term Liabilities</t>
        </is>
      </c>
      <c r="C115" s="4">
        <f>IF(C16&gt;0,C67/C16,"")</f>
        <v/>
      </c>
      <c r="D115" s="4">
        <f>IF(D16&gt;0,D67/D16,"")</f>
        <v/>
      </c>
      <c r="E115" s="4">
        <f>IF(E16&gt;0,E67/E16,"")</f>
        <v/>
      </c>
      <c r="F115" s="4">
        <f>IF(F16&gt;0,F67/F16,"")</f>
        <v/>
      </c>
      <c r="G115" s="4">
        <f>IF(G16&gt;0,G67/G16,"")</f>
        <v/>
      </c>
      <c r="H115" s="4">
        <f>IF(H16&gt;0,H67/H16,"")</f>
        <v/>
      </c>
      <c r="I115" s="4">
        <f>IF(I16&gt;0,I67/I16,"")</f>
        <v/>
      </c>
      <c r="J115" s="4">
        <f>IF(J16&gt;0,J67/J16,"")</f>
        <v/>
      </c>
      <c r="K115" s="4">
        <f>IF(K16&gt;0,K67/K16,"")</f>
        <v/>
      </c>
      <c r="L115" s="4">
        <f>IF(L16&gt;0,L67/L16,"")</f>
        <v/>
      </c>
    </row>
    <row r="116">
      <c r="B116" s="5" t="inlineStr">
        <is>
          <t>Total Liabilities</t>
        </is>
      </c>
      <c r="C116" s="4">
        <f>IF(C16&gt;0,C68/C16,"")</f>
        <v/>
      </c>
      <c r="D116" s="4">
        <f>IF(D16&gt;0,D68/D16,"")</f>
        <v/>
      </c>
      <c r="E116" s="4">
        <f>IF(E16&gt;0,E68/E16,"")</f>
        <v/>
      </c>
      <c r="F116" s="4">
        <f>IF(F16&gt;0,F68/F16,"")</f>
        <v/>
      </c>
      <c r="G116" s="4">
        <f>IF(G16&gt;0,G68/G16,"")</f>
        <v/>
      </c>
      <c r="H116" s="4">
        <f>IF(H16&gt;0,H68/H16,"")</f>
        <v/>
      </c>
      <c r="I116" s="4">
        <f>IF(I16&gt;0,I68/I16,"")</f>
        <v/>
      </c>
      <c r="J116" s="4">
        <f>IF(J16&gt;0,J68/J16,"")</f>
        <v/>
      </c>
      <c r="K116" s="4">
        <f>IF(K16&gt;0,K68/K16,"")</f>
        <v/>
      </c>
      <c r="L116" s="4">
        <f>IF(L16&gt;0,L68/L16,"")</f>
        <v/>
      </c>
    </row>
    <row r="117">
      <c r="B117" s="5" t="inlineStr">
        <is>
          <t>Stockholders' Equity</t>
        </is>
      </c>
      <c r="C117" s="4">
        <f>IF(C16&gt;0,C69/C16,"")</f>
        <v/>
      </c>
      <c r="D117" s="4">
        <f>IF(D16&gt;0,D69/D16,"")</f>
        <v/>
      </c>
      <c r="E117" s="4">
        <f>IF(E16&gt;0,E69/E16,"")</f>
        <v/>
      </c>
      <c r="F117" s="4">
        <f>IF(F16&gt;0,F69/F16,"")</f>
        <v/>
      </c>
      <c r="G117" s="4">
        <f>IF(G16&gt;0,G69/G16,"")</f>
        <v/>
      </c>
      <c r="H117" s="4">
        <f>IF(H16&gt;0,H69/H16,"")</f>
        <v/>
      </c>
      <c r="I117" s="4">
        <f>IF(I16&gt;0,I69/I16,"")</f>
        <v/>
      </c>
      <c r="J117" s="4">
        <f>IF(J16&gt;0,J69/J16,"")</f>
        <v/>
      </c>
      <c r="K117" s="4">
        <f>IF(K16&gt;0,K69/K16,"")</f>
        <v/>
      </c>
      <c r="L117" s="4">
        <f>IF(L16&gt;0,L69/L16,"")</f>
        <v/>
      </c>
    </row>
    <row r="118">
      <c r="B118" s="5" t="inlineStr">
        <is>
          <t>Total Liabilities &amp; Equity</t>
        </is>
      </c>
      <c r="C118" s="4">
        <f>IF(C16&gt;0,C70/C16,"")</f>
        <v/>
      </c>
      <c r="D118" s="4">
        <f>IF(D16&gt;0,D70/D16,"")</f>
        <v/>
      </c>
      <c r="E118" s="4">
        <f>IF(E16&gt;0,E70/E16,"")</f>
        <v/>
      </c>
      <c r="F118" s="4">
        <f>IF(F16&gt;0,F70/F16,"")</f>
        <v/>
      </c>
      <c r="G118" s="4">
        <f>IF(G16&gt;0,G70/G16,"")</f>
        <v/>
      </c>
      <c r="H118" s="4">
        <f>IF(H16&gt;0,H70/H16,"")</f>
        <v/>
      </c>
      <c r="I118" s="4">
        <f>IF(I16&gt;0,I70/I16,"")</f>
        <v/>
      </c>
      <c r="J118" s="4">
        <f>IF(J16&gt;0,J70/J16,"")</f>
        <v/>
      </c>
      <c r="K118" s="4">
        <f>IF(K16&gt;0,K70/K16,"")</f>
        <v/>
      </c>
      <c r="L118" s="4">
        <f>IF(L16&gt;0,L70/L16,"")</f>
        <v/>
      </c>
    </row>
    <row r="121">
      <c r="A121" t="inlineStr">
        <is>
          <t>x</t>
        </is>
      </c>
      <c r="B121" s="2" t="inlineStr">
        <is>
          <t>EQUITY SCHEDULE</t>
        </is>
      </c>
      <c r="D121" s="2" t="inlineStr">
        <is>
          <t>FY 2022</t>
        </is>
      </c>
      <c r="E121" s="2" t="inlineStr">
        <is>
          <t>FY 2023</t>
        </is>
      </c>
      <c r="F121" s="2" t="inlineStr">
        <is>
          <t>FY 2024</t>
        </is>
      </c>
    </row>
    <row r="122">
      <c r="B122" s="5" t="inlineStr">
        <is>
          <t>Beginning of Period</t>
        </is>
      </c>
      <c r="D122" s="3">
        <f>C69</f>
        <v/>
      </c>
      <c r="E122" s="3">
        <f>D69</f>
        <v/>
      </c>
      <c r="F122" s="3">
        <f>E69</f>
        <v/>
      </c>
    </row>
    <row r="123">
      <c r="B123" t="inlineStr">
        <is>
          <t>+ Net Income</t>
        </is>
      </c>
      <c r="D123" s="3">
        <f>D28</f>
        <v/>
      </c>
      <c r="E123" s="3">
        <f>E28</f>
        <v/>
      </c>
      <c r="F123" s="3">
        <f>F28</f>
        <v/>
      </c>
    </row>
    <row r="124">
      <c r="B124" t="inlineStr">
        <is>
          <t>+ Other Changes (Buybacks/Dividends/OCI)</t>
        </is>
      </c>
      <c r="D124" s="3">
        <f>D69-D122-D123</f>
        <v/>
      </c>
      <c r="E124" s="3">
        <f>E69-E122-E123</f>
        <v/>
      </c>
      <c r="F124" s="3">
        <f>F69-F122-F123</f>
        <v/>
      </c>
    </row>
    <row r="125">
      <c r="B125" s="5" t="inlineStr">
        <is>
          <t>End of Period</t>
        </is>
      </c>
      <c r="D125" s="3">
        <f>D69</f>
        <v/>
      </c>
      <c r="E125" s="3">
        <f>E69</f>
        <v/>
      </c>
      <c r="F125" s="3">
        <f>F69</f>
        <v/>
      </c>
    </row>
    <row r="128">
      <c r="A128" t="inlineStr">
        <is>
          <t>x</t>
        </is>
      </c>
      <c r="B128" s="2" t="inlineStr">
        <is>
          <t>STATEMENT OF CASH FLOWS (Derived)</t>
        </is>
      </c>
      <c r="D128" s="2" t="inlineStr">
        <is>
          <t>FY 2022</t>
        </is>
      </c>
      <c r="E128" s="2" t="inlineStr">
        <is>
          <t>FY 2023</t>
        </is>
      </c>
      <c r="F128" s="2" t="inlineStr">
        <is>
          <t>FY 2024</t>
        </is>
      </c>
    </row>
    <row r="129">
      <c r="B129" s="2" t="inlineStr">
        <is>
          <t>Operating Activities:</t>
        </is>
      </c>
    </row>
    <row r="130">
      <c r="B130" t="inlineStr">
        <is>
          <t>Net Income</t>
        </is>
      </c>
      <c r="D130" s="3">
        <f>D28</f>
        <v/>
      </c>
      <c r="E130" s="3">
        <f>E28</f>
        <v/>
      </c>
      <c r="F130" s="3">
        <f>F28</f>
        <v/>
      </c>
    </row>
    <row r="131">
      <c r="B131" t="inlineStr">
        <is>
          <t>+ Depreciation &amp; Amortization</t>
        </is>
      </c>
      <c r="D131" s="3">
        <f>D22</f>
        <v/>
      </c>
      <c r="E131" s="3">
        <f>E22</f>
        <v/>
      </c>
      <c r="F131" s="3">
        <f>F22</f>
        <v/>
      </c>
    </row>
    <row r="132">
      <c r="B132" t="inlineStr">
        <is>
          <t>+ Goodwill Impairment</t>
        </is>
      </c>
      <c r="D132" s="3">
        <f>D23</f>
        <v/>
      </c>
      <c r="E132" s="3">
        <f>E23</f>
        <v/>
      </c>
      <c r="F132" s="3">
        <f>F23</f>
        <v/>
      </c>
    </row>
    <row r="133">
      <c r="B133" t="inlineStr">
        <is>
          <t>change in + Accounts Receivable</t>
        </is>
      </c>
      <c r="D133" s="3">
        <f>-(D47-C47)</f>
        <v/>
      </c>
      <c r="E133" s="3">
        <f>-(E47-D47)</f>
        <v/>
      </c>
      <c r="F133" s="3">
        <f>-(F47-E47)</f>
        <v/>
      </c>
    </row>
    <row r="134">
      <c r="B134" t="inlineStr">
        <is>
          <t>change in + Subcontractor Receivables</t>
        </is>
      </c>
      <c r="D134" s="3">
        <f>-(D48-C48)</f>
        <v/>
      </c>
      <c r="E134" s="3">
        <f>-(E48-D48)</f>
        <v/>
      </c>
      <c r="F134" s="3">
        <f>-(F48-E48)</f>
        <v/>
      </c>
    </row>
    <row r="135">
      <c r="B135" t="inlineStr">
        <is>
          <t>change in + Prepaid &amp; Other</t>
        </is>
      </c>
      <c r="D135" s="3">
        <f>-(D49-C49)</f>
        <v/>
      </c>
      <c r="E135" s="3">
        <f>-(E49-D49)</f>
        <v/>
      </c>
      <c r="F135" s="3">
        <f>-(F49-E49)</f>
        <v/>
      </c>
    </row>
    <row r="136">
      <c r="B136" t="inlineStr">
        <is>
          <t>change in + Payables &amp; Accruals</t>
        </is>
      </c>
      <c r="D136" s="3">
        <f>D60-C60</f>
        <v/>
      </c>
      <c r="E136" s="3">
        <f>E60-D60</f>
        <v/>
      </c>
      <c r="F136" s="3">
        <f>F60-E60</f>
        <v/>
      </c>
    </row>
    <row r="137">
      <c r="B137" t="inlineStr">
        <is>
          <t>change in + Accrued Compensation</t>
        </is>
      </c>
      <c r="D137" s="3">
        <f>D61-C61</f>
        <v/>
      </c>
      <c r="E137" s="3">
        <f>E61-D61</f>
        <v/>
      </c>
      <c r="F137" s="3">
        <f>F61-E61</f>
        <v/>
      </c>
    </row>
    <row r="138">
      <c r="B138" t="inlineStr">
        <is>
          <t>change in + Other ST Liabilities</t>
        </is>
      </c>
      <c r="D138" s="3">
        <f>D62-C62</f>
        <v/>
      </c>
      <c r="E138" s="3">
        <f>E62-D62</f>
        <v/>
      </c>
      <c r="F138" s="3">
        <f>F62-E62</f>
        <v/>
      </c>
    </row>
    <row r="139">
      <c r="B139" s="5" t="inlineStr">
        <is>
          <t>Cash Flow From Operations</t>
        </is>
      </c>
      <c r="D139" s="3">
        <f>D130+D131+D132+D133+D134+D135+D136+D137+D138</f>
        <v/>
      </c>
      <c r="E139" s="3">
        <f>E130+E131+E132+E133+E134+E135+E136+E137+E138</f>
        <v/>
      </c>
      <c r="F139" s="3">
        <f>F130+F131+F132+F133+F134+F135+F136+F137+F138</f>
        <v/>
      </c>
    </row>
    <row r="141">
      <c r="B141" s="2" t="inlineStr">
        <is>
          <t>Investing Activities:</t>
        </is>
      </c>
    </row>
    <row r="142">
      <c r="B142" t="inlineStr">
        <is>
          <t>change in + Property, Plant &amp; Equip</t>
        </is>
      </c>
      <c r="D142" s="3">
        <f>-((D52-C52)+D22)</f>
        <v/>
      </c>
      <c r="E142" s="3">
        <f>-((E52-D52)+E22)</f>
        <v/>
      </c>
      <c r="F142" s="3">
        <f>-((F52-E52)+F22)</f>
        <v/>
      </c>
    </row>
    <row r="143">
      <c r="B143" t="inlineStr">
        <is>
          <t>change in + Other LT Assets</t>
        </is>
      </c>
      <c r="D143" s="3">
        <f>-((D51-C51)+(D53-C53)+(D54-C54))</f>
        <v/>
      </c>
      <c r="E143" s="3">
        <f>-((E51-D51)+(E53-D53)+(E54-D54))</f>
        <v/>
      </c>
      <c r="F143" s="3">
        <f>-((F51-E51)+(F53-E53)+(F54-E54))</f>
        <v/>
      </c>
    </row>
    <row r="144">
      <c r="B144" t="inlineStr">
        <is>
          <t>change in + Goodwill (Acquisitions)</t>
        </is>
      </c>
      <c r="D144" s="3">
        <f>-((D55-C55)+D23)</f>
        <v/>
      </c>
      <c r="E144" s="3">
        <f>-((E55-D55)+E23)</f>
        <v/>
      </c>
      <c r="F144" s="3">
        <f>-((F55-E55)+F23)</f>
        <v/>
      </c>
    </row>
    <row r="145">
      <c r="B145" t="inlineStr">
        <is>
          <t>change in + Intangibles</t>
        </is>
      </c>
      <c r="D145" s="3">
        <f>-(D56-C56)</f>
        <v/>
      </c>
      <c r="E145" s="3">
        <f>-(E56-D56)</f>
        <v/>
      </c>
      <c r="F145" s="3">
        <f>-(F56-E56)</f>
        <v/>
      </c>
    </row>
    <row r="146">
      <c r="B146" s="5" t="inlineStr">
        <is>
          <t>Cash Flow From Investing</t>
        </is>
      </c>
      <c r="D146" s="3">
        <f>D142+D143+D144+D145</f>
        <v/>
      </c>
      <c r="E146" s="3">
        <f>E142+E143+E144+E145</f>
        <v/>
      </c>
      <c r="F146" s="3">
        <f>F142+F143+F144+F145</f>
        <v/>
      </c>
    </row>
    <row r="148">
      <c r="B148" s="2" t="inlineStr">
        <is>
          <t>Financing Activities:</t>
        </is>
      </c>
    </row>
    <row r="149">
      <c r="B149" t="inlineStr">
        <is>
          <t>change in + LT Debt</t>
        </is>
      </c>
      <c r="D149" s="3">
        <f>(D64-C64)+(D65-C65)</f>
        <v/>
      </c>
      <c r="E149" s="3">
        <f>(E64-D64)+(E65-D65)</f>
        <v/>
      </c>
      <c r="F149" s="3">
        <f>(F64-E64)+(F65-E65)</f>
        <v/>
      </c>
    </row>
    <row r="150">
      <c r="B150" t="inlineStr">
        <is>
          <t>change in + Other LT Liabilities</t>
        </is>
      </c>
      <c r="D150" s="3">
        <f>(D66-C66)+(D67-C67)</f>
        <v/>
      </c>
      <c r="E150" s="3">
        <f>(E66-D66)+(E67-D67)</f>
        <v/>
      </c>
      <c r="F150" s="3">
        <f>(F66-E66)+(F67-E67)</f>
        <v/>
      </c>
    </row>
    <row r="151">
      <c r="B151" t="inlineStr">
        <is>
          <t>change in Total Equity (ex NI)</t>
        </is>
      </c>
      <c r="D151" s="3">
        <f>D124</f>
        <v/>
      </c>
      <c r="E151" s="3">
        <f>E124</f>
        <v/>
      </c>
      <c r="F151" s="3">
        <f>F124</f>
        <v/>
      </c>
    </row>
    <row r="152">
      <c r="B152" s="5" t="inlineStr">
        <is>
          <t>Cash Flow From Financing</t>
        </is>
      </c>
      <c r="D152" s="3">
        <f>D149+D150+D151</f>
        <v/>
      </c>
      <c r="E152" s="3">
        <f>E149+E150+E151</f>
        <v/>
      </c>
      <c r="F152" s="3">
        <f>F149+F150+F151</f>
        <v/>
      </c>
    </row>
    <row r="154">
      <c r="B154" s="5" t="inlineStr">
        <is>
          <t>Total Cash Flow</t>
        </is>
      </c>
      <c r="D154" s="3">
        <f>D139+D146+D152</f>
        <v/>
      </c>
      <c r="E154" s="3">
        <f>E139+E146+E152</f>
        <v/>
      </c>
      <c r="F154" s="3">
        <f>F139+F146+F152</f>
        <v/>
      </c>
    </row>
    <row r="156">
      <c r="B156" t="inlineStr">
        <is>
          <t>Actual Change in Cash (B/S)</t>
        </is>
      </c>
      <c r="D156" s="3">
        <f>D46-C46</f>
        <v/>
      </c>
      <c r="E156" s="3">
        <f>E46-D46</f>
        <v/>
      </c>
      <c r="F156" s="3">
        <f>F46-E46</f>
        <v/>
      </c>
    </row>
    <row r="157">
      <c r="B157" t="inlineStr">
        <is>
          <t>Difference (Check)</t>
        </is>
      </c>
      <c r="D157" s="3">
        <f>D154-D156</f>
        <v/>
      </c>
      <c r="E157" s="3">
        <f>E154-E156</f>
        <v/>
      </c>
      <c r="F157" s="3">
        <f>F154-F156</f>
        <v/>
      </c>
    </row>
    <row r="160">
      <c r="A160" t="inlineStr">
        <is>
          <t>x</t>
        </is>
      </c>
      <c r="B160" s="2" t="inlineStr">
        <is>
          <t>DCF VALUATION - Annual (in Thousands USD)</t>
        </is>
      </c>
      <c r="G160" s="2" t="inlineStr">
        <is>
          <t>FY 2025</t>
        </is>
      </c>
      <c r="H160" s="2" t="inlineStr">
        <is>
          <t>FY 2026</t>
        </is>
      </c>
      <c r="I160" s="2" t="inlineStr">
        <is>
          <t>FY 2027</t>
        </is>
      </c>
      <c r="J160" s="2" t="inlineStr">
        <is>
          <t>FY 2028</t>
        </is>
      </c>
      <c r="K160" s="2" t="inlineStr">
        <is>
          <t>FY 2029</t>
        </is>
      </c>
      <c r="L160" s="2" t="inlineStr">
        <is>
          <t>FY 2030</t>
        </is>
      </c>
    </row>
    <row r="161">
      <c r="B161" s="2" t="inlineStr">
        <is>
          <t>INPUTS</t>
        </is>
      </c>
    </row>
    <row r="162">
      <c r="B162" s="9" t="inlineStr">
        <is>
          <t>Discount Rate (WACC)</t>
        </is>
      </c>
      <c r="G162" s="10" t="n">
        <v>0.1</v>
      </c>
    </row>
    <row r="163">
      <c r="B163" s="9" t="inlineStr">
        <is>
          <t>Terminal Growth Rate</t>
        </is>
      </c>
      <c r="G163" s="10" t="n">
        <v>0.02</v>
      </c>
    </row>
    <row r="165">
      <c r="B165" s="2" t="inlineStr">
        <is>
          <t>FREE CASH FLOW</t>
        </is>
      </c>
    </row>
    <row r="166">
      <c r="B166" t="inlineStr">
        <is>
          <t>EBITDA</t>
        </is>
      </c>
      <c r="G166" s="3">
        <f>G31</f>
        <v/>
      </c>
      <c r="H166" s="3">
        <f>H31</f>
        <v/>
      </c>
      <c r="I166" s="3">
        <f>I31</f>
        <v/>
      </c>
      <c r="J166" s="3">
        <f>J31</f>
        <v/>
      </c>
      <c r="K166" s="3">
        <f>K31</f>
        <v/>
      </c>
      <c r="L166" s="3">
        <f>L31</f>
        <v/>
      </c>
    </row>
    <row r="167">
      <c r="B167" t="inlineStr">
        <is>
          <t>- D&amp;A (add back already in EBITDA)</t>
        </is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</row>
    <row r="168">
      <c r="B168" t="inlineStr">
        <is>
          <t>- CapEx (as % of Revenue)</t>
        </is>
      </c>
      <c r="G168" s="3">
        <f>-G16*F85</f>
        <v/>
      </c>
      <c r="H168" s="3">
        <f>-H16*F85</f>
        <v/>
      </c>
      <c r="I168" s="3">
        <f>-I16*F85</f>
        <v/>
      </c>
      <c r="J168" s="3">
        <f>-J16*F85</f>
        <v/>
      </c>
      <c r="K168" s="3">
        <f>-K16*F85</f>
        <v/>
      </c>
      <c r="L168" s="3">
        <f>-L16*F85</f>
        <v/>
      </c>
    </row>
    <row r="169">
      <c r="B169" t="inlineStr">
        <is>
          <t>- Change in NWC (assumed 0)</t>
        </is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</row>
    <row r="170">
      <c r="B170" t="inlineStr">
        <is>
          <t>- Cash Taxes</t>
        </is>
      </c>
      <c r="G170" s="3">
        <f>-G27</f>
        <v/>
      </c>
      <c r="H170" s="3">
        <f>-H27</f>
        <v/>
      </c>
      <c r="I170" s="3">
        <f>-I27</f>
        <v/>
      </c>
      <c r="J170" s="3">
        <f>-J27</f>
        <v/>
      </c>
      <c r="K170" s="3">
        <f>-K27</f>
        <v/>
      </c>
      <c r="L170" s="3">
        <f>-L27</f>
        <v/>
      </c>
    </row>
    <row r="171">
      <c r="B171" s="5" t="inlineStr">
        <is>
          <t>Free Cash Flow</t>
        </is>
      </c>
      <c r="G171" s="3">
        <f>G166+G168+G169+G170</f>
        <v/>
      </c>
      <c r="H171" s="3">
        <f>H166+H168+H169+H170</f>
        <v/>
      </c>
      <c r="I171" s="3">
        <f>I166+I168+I169+I170</f>
        <v/>
      </c>
      <c r="J171" s="3">
        <f>J166+J168+J169+J170</f>
        <v/>
      </c>
      <c r="K171" s="3">
        <f>K166+K168+K169+K170</f>
        <v/>
      </c>
      <c r="L171" s="3">
        <f>L166+L168+L169+L170</f>
        <v/>
      </c>
    </row>
    <row r="173">
      <c r="B173" s="2" t="inlineStr">
        <is>
          <t>PRESENT VALUE</t>
        </is>
      </c>
    </row>
    <row r="174">
      <c r="B174" t="inlineStr">
        <is>
          <t>Discount Factor</t>
        </is>
      </c>
      <c r="G174" s="11">
        <f>1/(1+$G$162)^1</f>
        <v/>
      </c>
      <c r="H174" s="11">
        <f>1/(1+$G$162)^2</f>
        <v/>
      </c>
      <c r="I174" s="11">
        <f>1/(1+$G$162)^3</f>
        <v/>
      </c>
      <c r="J174" s="11">
        <f>1/(1+$G$162)^4</f>
        <v/>
      </c>
      <c r="K174" s="11">
        <f>1/(1+$G$162)^5</f>
        <v/>
      </c>
      <c r="L174" s="11">
        <f>1/(1+$G$162)^6</f>
        <v/>
      </c>
    </row>
    <row r="175">
      <c r="B175" t="inlineStr">
        <is>
          <t>PV of FCF</t>
        </is>
      </c>
      <c r="G175" s="3">
        <f>G171*G174</f>
        <v/>
      </c>
      <c r="H175" s="3">
        <f>H171*H174</f>
        <v/>
      </c>
      <c r="I175" s="3">
        <f>I171*I174</f>
        <v/>
      </c>
      <c r="J175" s="3">
        <f>J171*J174</f>
        <v/>
      </c>
      <c r="K175" s="3">
        <f>K171*K174</f>
        <v/>
      </c>
      <c r="L175" s="3">
        <f>L171*L174</f>
        <v/>
      </c>
    </row>
    <row r="177">
      <c r="B177" s="2" t="inlineStr">
        <is>
          <t>VALUATION SUMMARY</t>
        </is>
      </c>
    </row>
    <row r="178">
      <c r="B178" t="inlineStr">
        <is>
          <t>Sum of PV of FCFs</t>
        </is>
      </c>
      <c r="G178" s="3">
        <f>G175+H175+I175+J175+K175+L175</f>
        <v/>
      </c>
    </row>
    <row r="179">
      <c r="B179" t="inlineStr">
        <is>
          <t>Terminal Year FCF</t>
        </is>
      </c>
      <c r="G179" s="3">
        <f>L171</f>
        <v/>
      </c>
    </row>
    <row r="180">
      <c r="B180" t="inlineStr">
        <is>
          <t>Terminal Value (Gordon Growth)</t>
        </is>
      </c>
      <c r="G180" s="3">
        <f>G179*(1+$G$163)/($G$162-$G$163)</f>
        <v/>
      </c>
    </row>
    <row r="181">
      <c r="B181" t="inlineStr">
        <is>
          <t>PV of Terminal Value</t>
        </is>
      </c>
      <c r="G181" s="3">
        <f>G180*L174</f>
        <v/>
      </c>
    </row>
    <row r="182">
      <c r="B182" s="5" t="inlineStr">
        <is>
          <t>Enterprise Value</t>
        </is>
      </c>
      <c r="G182" s="3">
        <f>G178+G181</f>
        <v/>
      </c>
    </row>
    <row r="185">
      <c r="A185" t="inlineStr">
        <is>
          <t>x</t>
        </is>
      </c>
      <c r="B185" s="2" t="inlineStr">
        <is>
          <t>MARKET DATA &amp; VALUATION COMPARISON</t>
        </is>
      </c>
    </row>
    <row r="186">
      <c r="B186" s="2" t="inlineStr">
        <is>
          <t>MARKET INPUTS (Update Manually)</t>
        </is>
      </c>
    </row>
    <row r="187">
      <c r="B187" s="9" t="inlineStr">
        <is>
          <t>Shares Outstanding (millions)</t>
        </is>
      </c>
      <c r="G187" s="12" t="n">
        <v>37.5</v>
      </c>
    </row>
    <row r="188">
      <c r="B188" s="9" t="inlineStr">
        <is>
          <t>Current Stock Price ($)</t>
        </is>
      </c>
      <c r="G188" s="13" t="n">
        <v>25</v>
      </c>
    </row>
    <row r="189">
      <c r="B189" t="inlineStr">
        <is>
          <t>Market Cap (thousands)</t>
        </is>
      </c>
      <c r="G189" s="3">
        <f>G187*G188*1000</f>
        <v/>
      </c>
    </row>
    <row r="190">
      <c r="B190" t="inlineStr">
        <is>
          <t>Total Debt (FY2024)</t>
        </is>
      </c>
      <c r="G190" s="3">
        <f>F77</f>
        <v/>
      </c>
    </row>
    <row r="191">
      <c r="B191" t="inlineStr">
        <is>
          <t>Cash (FY2024)</t>
        </is>
      </c>
      <c r="G191" s="3">
        <f>F46</f>
        <v/>
      </c>
    </row>
    <row r="192">
      <c r="B192" s="5" t="inlineStr">
        <is>
          <t>Net Debt</t>
        </is>
      </c>
      <c r="G192" s="3">
        <f>G190-G191</f>
        <v/>
      </c>
    </row>
    <row r="193">
      <c r="B193" s="5" t="inlineStr">
        <is>
          <t>Current Enterprise Value</t>
        </is>
      </c>
      <c r="G193" s="3">
        <f>G189+G192</f>
        <v/>
      </c>
    </row>
    <row r="195">
      <c r="B195" s="2" t="inlineStr">
        <is>
          <t>VALUATION COMPARISON</t>
        </is>
      </c>
    </row>
    <row r="196">
      <c r="B196" t="inlineStr">
        <is>
          <t>DCF Enterprise Value</t>
        </is>
      </c>
      <c r="G196" s="3">
        <f>G182</f>
        <v/>
      </c>
    </row>
    <row r="197">
      <c r="B197" t="inlineStr">
        <is>
          <t>Implied Equity Value</t>
        </is>
      </c>
      <c r="G197" s="3">
        <f>G196-G192</f>
        <v/>
      </c>
    </row>
    <row r="198">
      <c r="B198" s="5" t="inlineStr">
        <is>
          <t>Implied Share Price ($)</t>
        </is>
      </c>
      <c r="G198" s="14">
        <f>G197/G187/1000</f>
        <v/>
      </c>
    </row>
    <row r="199">
      <c r="B199" s="5" t="inlineStr">
        <is>
          <t>Upside / (Downside) %</t>
        </is>
      </c>
      <c r="G199" s="15">
        <f>G198/G188-1</f>
        <v/>
      </c>
    </row>
    <row r="202">
      <c r="A202" t="inlineStr">
        <is>
          <t>x</t>
        </is>
      </c>
      <c r="B202" s="2" t="inlineStr">
        <is>
          <t>DATA SOURCES &amp; FILING REFERENCES</t>
        </is>
      </c>
    </row>
    <row r="203">
      <c r="B203" t="inlineStr">
        <is>
          <t>SEC EDGAR: https://www.sec.gov/cgi-bin/browse-edgar?action=getcompany&amp;CIK=0001142750</t>
        </is>
      </c>
    </row>
    <row r="204">
      <c r="B204" t="inlineStr">
        <is>
          <t>Company: AMN Healthcare Services Inc (NYSE: AMN)</t>
        </is>
      </c>
    </row>
    <row r="205">
      <c r="B205" t="inlineStr">
        <is>
          <t>10-K (Annual): Revenue, all IS items, all BS items</t>
        </is>
      </c>
    </row>
    <row r="206">
      <c r="B206" t="inlineStr">
        <is>
          <t>10-Q (Quarterly): Quarterly IS data, segment revenue</t>
        </is>
      </c>
    </row>
    <row r="207">
      <c r="B207" t="inlineStr">
        <is>
          <t>Source File: Annual data from 10-K filings; Quarterly from 10-Q filings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2026-01-31T15:44:26Z</dcterms:created>
  <dcterms:modified xsi:type="dcterms:W3CDTF">2026-01-31T15:44:26Z</dcterms:modified>
</cp:coreProperties>
</file>