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" customWidth="1" min="8" max="8"/>
    <col width="3" customWidth="1" min="9" max="9"/>
    <col width="3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B1" s="1" t="inlineStr">
        <is>
          <t>AMN Healthcare Services Inc (AMN) - Financial Model</t>
        </is>
      </c>
    </row>
    <row r="3">
      <c r="A3" t="inlineStr">
        <is>
          <t>x</t>
        </is>
      </c>
      <c r="B3" s="2" t="inlineStr">
        <is>
          <t>SEGMENT REVENUE BREAKDOWN - In Thousands USD</t>
        </is>
      </c>
      <c r="C3" s="2" t="inlineStr">
        <is>
          <t>FY 2021</t>
        </is>
      </c>
      <c r="D3" s="2" t="inlineStr">
        <is>
          <t>FY 2022</t>
        </is>
      </c>
      <c r="E3" s="2" t="inlineStr">
        <is>
          <t>FY 2023</t>
        </is>
      </c>
      <c r="F3" s="2" t="inlineStr">
        <is>
          <t>FY 2024</t>
        </is>
      </c>
      <c r="K3" s="2" t="inlineStr">
        <is>
          <t>Q1 2024</t>
        </is>
      </c>
      <c r="L3" s="2" t="inlineStr">
        <is>
          <t>Q2 2024</t>
        </is>
      </c>
      <c r="M3" s="2" t="inlineStr">
        <is>
          <t>Q3 2024</t>
        </is>
      </c>
      <c r="N3" s="2" t="inlineStr">
        <is>
          <t>Q4 2024</t>
        </is>
      </c>
    </row>
    <row r="4">
      <c r="B4" t="inlineStr">
        <is>
          <t>Nurse and Allied Solutions</t>
        </is>
      </c>
      <c r="C4" s="4" t="n">
        <v>2990100</v>
      </c>
      <c r="D4" s="4" t="n">
        <v>3982500</v>
      </c>
      <c r="E4" s="4" t="n">
        <v>2624500</v>
      </c>
      <c r="F4" s="4" t="n">
        <v>1815700</v>
      </c>
      <c r="K4" s="4" t="n">
        <v>519300</v>
      </c>
      <c r="L4" s="4" t="n">
        <v>442400</v>
      </c>
      <c r="M4" s="4" t="n">
        <v>399400</v>
      </c>
      <c r="N4" s="4" t="n">
        <v>454700</v>
      </c>
    </row>
    <row r="5">
      <c r="B5" t="inlineStr">
        <is>
          <t xml:space="preserve">  YoY Growth</t>
        </is>
      </c>
      <c r="D5" s="5">
        <f>D4/C4-1</f>
        <v/>
      </c>
      <c r="E5" s="5">
        <f>E4/D4-1</f>
        <v/>
      </c>
      <c r="F5" s="5">
        <f>F4/E4-1</f>
        <v/>
      </c>
      <c r="K5" s="5">
        <f>K4/756900-1</f>
        <v/>
      </c>
      <c r="L5" s="5">
        <f>L4/756600-1</f>
        <v/>
      </c>
      <c r="M5" s="5">
        <f>M4/573400-1</f>
        <v/>
      </c>
      <c r="N5" s="5">
        <f>N4/537600-1</f>
        <v/>
      </c>
    </row>
    <row r="6">
      <c r="B6" t="inlineStr">
        <is>
          <t>Physician and Leadership Solutions</t>
        </is>
      </c>
      <c r="C6" s="4" t="n">
        <v>594200</v>
      </c>
      <c r="D6" s="4" t="n">
        <v>697900</v>
      </c>
      <c r="E6" s="4" t="n">
        <v>669700</v>
      </c>
      <c r="F6" s="4" t="n">
        <v>728600</v>
      </c>
      <c r="K6" s="4" t="n">
        <v>188800</v>
      </c>
      <c r="L6" s="4" t="n">
        <v>186100</v>
      </c>
      <c r="M6" s="4" t="n">
        <v>180600</v>
      </c>
      <c r="N6" s="4" t="n">
        <v>173100</v>
      </c>
    </row>
    <row r="7">
      <c r="B7" t="inlineStr">
        <is>
          <t xml:space="preserve">  YoY Growth</t>
        </is>
      </c>
      <c r="D7" s="5">
        <f>D6/C6-1</f>
        <v/>
      </c>
      <c r="E7" s="5">
        <f>E6/D6-1</f>
        <v/>
      </c>
      <c r="F7" s="5">
        <f>F6/E6-1</f>
        <v/>
      </c>
      <c r="K7" s="5">
        <f>K6/170900-1</f>
        <v/>
      </c>
      <c r="L7" s="5">
        <f>L6/171000-1</f>
        <v/>
      </c>
      <c r="M7" s="5">
        <f>M6/159600-1</f>
        <v/>
      </c>
      <c r="N7" s="5">
        <f>N6/168200-1</f>
        <v/>
      </c>
    </row>
    <row r="8">
      <c r="B8" t="inlineStr">
        <is>
          <t>Technology and Workforce Solutions</t>
        </is>
      </c>
      <c r="C8" s="4" t="n">
        <v>399900</v>
      </c>
      <c r="D8" s="4" t="n">
        <v>562800</v>
      </c>
      <c r="E8" s="4" t="n">
        <v>495000</v>
      </c>
      <c r="F8" s="4" t="n">
        <v>439500</v>
      </c>
      <c r="K8" s="4" t="n">
        <v>112800</v>
      </c>
      <c r="L8" s="4" t="n">
        <v>112200</v>
      </c>
      <c r="M8" s="4" t="n">
        <v>107500</v>
      </c>
      <c r="N8" s="4" t="n">
        <v>106900</v>
      </c>
    </row>
    <row r="9">
      <c r="B9" t="inlineStr">
        <is>
          <t xml:space="preserve">  YoY Growth</t>
        </is>
      </c>
      <c r="D9" s="5">
        <f>D8/C8-1</f>
        <v/>
      </c>
      <c r="E9" s="5">
        <f>E8/D8-1</f>
        <v/>
      </c>
      <c r="F9" s="5">
        <f>F8/E8-1</f>
        <v/>
      </c>
      <c r="K9" s="5">
        <f>K8/131200-1</f>
        <v/>
      </c>
      <c r="L9" s="5">
        <f>L8/130800-1</f>
        <v/>
      </c>
      <c r="M9" s="5">
        <f>M8/120500-1</f>
        <v/>
      </c>
      <c r="N9" s="5">
        <f>N8/112500-1</f>
        <v/>
      </c>
    </row>
    <row r="10">
      <c r="B10" s="3" t="inlineStr">
        <is>
          <t>Total Revenue</t>
        </is>
      </c>
      <c r="C10" s="4">
        <f>C4+C6+C8</f>
        <v/>
      </c>
      <c r="D10" s="4">
        <f>D4+D6+D8</f>
        <v/>
      </c>
      <c r="E10" s="4">
        <f>E4+E6+E8</f>
        <v/>
      </c>
      <c r="F10" s="4">
        <f>F4+F6+F8</f>
        <v/>
      </c>
      <c r="K10" s="4">
        <f>K4+K6+K8</f>
        <v/>
      </c>
      <c r="L10" s="4">
        <f>L4+L6+L8</f>
        <v/>
      </c>
      <c r="M10" s="4">
        <f>M4+M6+M8</f>
        <v/>
      </c>
      <c r="N10" s="4">
        <f>N4+N6+N8</f>
        <v/>
      </c>
    </row>
    <row r="11">
      <c r="B11" s="3" t="inlineStr">
        <is>
          <t xml:space="preserve">  YoY Growth</t>
        </is>
      </c>
      <c r="D11" s="5">
        <f>D10/C10-1</f>
        <v/>
      </c>
      <c r="E11" s="5">
        <f>E10/D10-1</f>
        <v/>
      </c>
      <c r="F11" s="5">
        <f>F10/E10-1</f>
        <v/>
      </c>
      <c r="K11" s="5">
        <f>K10/1059000-1</f>
        <v/>
      </c>
      <c r="L11" s="5">
        <f>L10/1058400-1</f>
        <v/>
      </c>
      <c r="M11" s="5">
        <f>M10/853500-1</f>
        <v/>
      </c>
      <c r="N11" s="5">
        <f>N10/818300-1</f>
        <v/>
      </c>
    </row>
    <row r="18">
      <c r="A18" t="inlineStr">
        <is>
          <t>x</t>
        </is>
      </c>
      <c r="B18" s="2" t="inlineStr">
        <is>
          <t>INCOME STATEMENT - In Thousands USD</t>
        </is>
      </c>
      <c r="C18" s="2" t="inlineStr">
        <is>
          <t>FY 2021</t>
        </is>
      </c>
      <c r="D18" s="2" t="inlineStr">
        <is>
          <t>FY 2022</t>
        </is>
      </c>
      <c r="E18" s="2" t="inlineStr">
        <is>
          <t>FY 2023</t>
        </is>
      </c>
      <c r="F18" s="2" t="inlineStr">
        <is>
          <t>FY 2024</t>
        </is>
      </c>
      <c r="H18" s="2" t="n"/>
      <c r="I18" s="2" t="n"/>
      <c r="J18" s="2" t="n"/>
      <c r="K18" s="2" t="inlineStr">
        <is>
          <t>Q1 2024</t>
        </is>
      </c>
      <c r="L18" s="2" t="inlineStr">
        <is>
          <t>Q2 2024</t>
        </is>
      </c>
      <c r="M18" s="2" t="inlineStr">
        <is>
          <t>Q3 2024</t>
        </is>
      </c>
      <c r="N18" s="2" t="inlineStr">
        <is>
          <t>Q4 2024</t>
        </is>
      </c>
    </row>
    <row r="19">
      <c r="B19" t="inlineStr">
        <is>
          <t>Period Ending</t>
        </is>
      </c>
      <c r="C19" t="inlineStr">
        <is>
          <t>12/31/2021</t>
        </is>
      </c>
      <c r="D19" t="inlineStr">
        <is>
          <t>12/31/2022</t>
        </is>
      </c>
      <c r="E19" t="inlineStr">
        <is>
          <t>12/31/2023</t>
        </is>
      </c>
      <c r="F19" t="inlineStr">
        <is>
          <t>12/31/2024</t>
        </is>
      </c>
      <c r="K19" t="inlineStr">
        <is>
          <t>3/31/2024</t>
        </is>
      </c>
      <c r="L19" t="inlineStr">
        <is>
          <t>6/30/2024</t>
        </is>
      </c>
      <c r="M19" t="inlineStr">
        <is>
          <t>9/30/2024</t>
        </is>
      </c>
      <c r="N19" t="inlineStr">
        <is>
          <t>12/31/2024</t>
        </is>
      </c>
    </row>
    <row r="20">
      <c r="B20" s="3" t="inlineStr">
        <is>
          <t>Revenue</t>
        </is>
      </c>
      <c r="C20" s="4" t="n">
        <v>3984235</v>
      </c>
      <c r="D20" s="4" t="n">
        <v>5243242</v>
      </c>
      <c r="E20" s="4" t="n">
        <v>3789254</v>
      </c>
      <c r="F20" s="4" t="n">
        <v>2983781</v>
      </c>
      <c r="H20" s="4" t="n"/>
      <c r="I20" s="4" t="n"/>
      <c r="J20" s="4" t="n"/>
      <c r="K20" s="4" t="n">
        <v>820878</v>
      </c>
      <c r="L20" s="4" t="n">
        <v>740685</v>
      </c>
      <c r="M20" s="4" t="n">
        <v>687509</v>
      </c>
      <c r="N20" s="4" t="n">
        <v>734709</v>
      </c>
    </row>
    <row r="21">
      <c r="B21" t="inlineStr">
        <is>
          <t>- Cost of Revenue</t>
        </is>
      </c>
      <c r="C21" s="4" t="n">
        <v>2674634</v>
      </c>
      <c r="D21" s="4" t="n">
        <v>3526558</v>
      </c>
      <c r="E21" s="4" t="n">
        <v>2539673</v>
      </c>
      <c r="F21" s="4" t="n">
        <v>2064405</v>
      </c>
      <c r="H21" s="4" t="n"/>
      <c r="I21" s="4" t="n"/>
      <c r="J21" s="4" t="n"/>
      <c r="K21" s="4" t="n">
        <v>563372</v>
      </c>
      <c r="L21" s="4" t="n">
        <v>510858</v>
      </c>
      <c r="M21" s="4" t="n">
        <v>474454</v>
      </c>
      <c r="N21" s="4" t="n">
        <v>515721</v>
      </c>
    </row>
    <row r="22">
      <c r="B22" s="3" t="inlineStr">
        <is>
          <t>Gross Profit</t>
        </is>
      </c>
      <c r="C22" s="4">
        <f>C20-C21</f>
        <v/>
      </c>
      <c r="D22" s="4">
        <f>D20-D21</f>
        <v/>
      </c>
      <c r="E22" s="4">
        <f>E20-E21</f>
        <v/>
      </c>
      <c r="F22" s="4">
        <f>F20-F21</f>
        <v/>
      </c>
      <c r="H22" s="4" t="n"/>
      <c r="I22" s="4" t="n"/>
      <c r="J22" s="4" t="n"/>
      <c r="K22" s="4">
        <f>K20-K21</f>
        <v/>
      </c>
      <c r="L22" s="4">
        <f>L20-L21</f>
        <v/>
      </c>
      <c r="M22" s="4">
        <f>M20-M21</f>
        <v/>
      </c>
      <c r="N22" s="4">
        <f>N20-N21</f>
        <v/>
      </c>
    </row>
    <row r="23">
      <c r="B23" t="inlineStr">
        <is>
          <t>- SG&amp;A Expenses</t>
        </is>
      </c>
      <c r="C23" s="4" t="n">
        <v>730451</v>
      </c>
      <c r="D23" s="4" t="n">
        <v>936576</v>
      </c>
      <c r="E23" s="4" t="n">
        <v>756238</v>
      </c>
      <c r="F23" s="4" t="n">
        <v>632489</v>
      </c>
      <c r="H23" s="4" t="n"/>
      <c r="I23" s="4" t="n"/>
      <c r="J23" s="4" t="n"/>
      <c r="K23" s="4" t="n">
        <v>174842</v>
      </c>
      <c r="L23" s="4" t="n">
        <v>149044</v>
      </c>
      <c r="M23" s="4" t="n">
        <v>149681</v>
      </c>
      <c r="N23" s="4" t="n">
        <v>158922</v>
      </c>
    </row>
    <row r="24">
      <c r="B24" t="inlineStr">
        <is>
          <t>- Depreciation &amp; Amortization</t>
        </is>
      </c>
      <c r="C24" s="4" t="n">
        <v>101152</v>
      </c>
      <c r="D24" s="4" t="n">
        <v>133007</v>
      </c>
      <c r="E24" s="4" t="n">
        <v>154914</v>
      </c>
      <c r="F24" s="4" t="n">
        <v>167103</v>
      </c>
      <c r="H24" s="4" t="n"/>
      <c r="I24" s="4" t="n"/>
      <c r="J24" s="4" t="n"/>
      <c r="K24" s="4" t="n">
        <v>42719</v>
      </c>
      <c r="L24" s="4" t="n">
        <v>43101</v>
      </c>
      <c r="M24" s="4" t="n">
        <v>41122</v>
      </c>
      <c r="N24" s="4" t="n">
        <v>40161</v>
      </c>
    </row>
    <row r="25">
      <c r="B25" t="inlineStr">
        <is>
          <t>- Goodwill Impairment</t>
        </is>
      </c>
      <c r="C25" s="4" t="n">
        <v>0</v>
      </c>
      <c r="D25" s="4" t="n">
        <v>0</v>
      </c>
      <c r="E25" s="4" t="n">
        <v>0</v>
      </c>
      <c r="F25" s="4" t="n">
        <v>222457</v>
      </c>
      <c r="H25" s="4" t="n"/>
      <c r="I25" s="4" t="n"/>
      <c r="J25" s="4" t="n"/>
      <c r="K25" s="4" t="n">
        <v>0</v>
      </c>
      <c r="L25" s="4" t="n">
        <v>0</v>
      </c>
      <c r="M25" s="4" t="n">
        <v>0</v>
      </c>
      <c r="N25" s="4" t="n">
        <v>222457</v>
      </c>
    </row>
    <row r="26">
      <c r="B26" s="3" t="inlineStr">
        <is>
          <t>Operating Income (Loss)</t>
        </is>
      </c>
      <c r="C26" s="4">
        <f>C22-C23-C24-C25</f>
        <v/>
      </c>
      <c r="D26" s="4">
        <f>D22-D23-D24-D25</f>
        <v/>
      </c>
      <c r="E26" s="4">
        <f>E22-E23-E24-E25</f>
        <v/>
      </c>
      <c r="F26" s="4">
        <f>F22-F23-F24-F25</f>
        <v/>
      </c>
      <c r="H26" s="4" t="n"/>
      <c r="I26" s="4" t="n"/>
      <c r="J26" s="4" t="n"/>
      <c r="K26" s="4">
        <f>K22-K23-K24-K25</f>
        <v/>
      </c>
      <c r="L26" s="4">
        <f>L22-L23-L24-L25</f>
        <v/>
      </c>
      <c r="M26" s="4">
        <f>M22-M23-M24-M25</f>
        <v/>
      </c>
      <c r="N26" s="4">
        <f>N22-N23-N24-N25</f>
        <v/>
      </c>
    </row>
    <row r="27">
      <c r="B27" t="inlineStr">
        <is>
          <t>- Interest Expense, net</t>
        </is>
      </c>
      <c r="C27" s="4" t="n">
        <v>34077</v>
      </c>
      <c r="D27" s="4" t="n">
        <v>40398</v>
      </c>
      <c r="E27" s="4" t="n">
        <v>54140</v>
      </c>
      <c r="F27" s="4" t="n">
        <v>69901</v>
      </c>
      <c r="H27" s="4" t="n"/>
      <c r="I27" s="4" t="n"/>
      <c r="J27" s="4" t="n"/>
      <c r="K27" s="4" t="n">
        <v>16628</v>
      </c>
      <c r="L27" s="4" t="n">
        <v>15715</v>
      </c>
      <c r="M27" s="4" t="n">
        <v>14444</v>
      </c>
      <c r="N27" s="4" t="n">
        <v>23114</v>
      </c>
    </row>
    <row r="28">
      <c r="B28" s="3" t="inlineStr">
        <is>
          <t>Pretax Income (Loss)</t>
        </is>
      </c>
      <c r="C28" s="4">
        <f>C26-C27</f>
        <v/>
      </c>
      <c r="D28" s="4">
        <f>D26-D27</f>
        <v/>
      </c>
      <c r="E28" s="4">
        <f>E26-E27</f>
        <v/>
      </c>
      <c r="F28" s="4">
        <f>F26-F27</f>
        <v/>
      </c>
      <c r="H28" s="4" t="n"/>
      <c r="I28" s="4" t="n"/>
      <c r="J28" s="4" t="n"/>
      <c r="K28" s="4">
        <f>K26-K27</f>
        <v/>
      </c>
      <c r="L28" s="4">
        <f>L26-L27</f>
        <v/>
      </c>
      <c r="M28" s="4">
        <f>M26-M27</f>
        <v/>
      </c>
      <c r="N28" s="4">
        <f>N26-N27</f>
        <v/>
      </c>
    </row>
    <row r="29">
      <c r="B29" t="inlineStr">
        <is>
          <t>- Income Tax Expense (Benefit)</t>
        </is>
      </c>
      <c r="C29" s="4" t="n">
        <v>116533</v>
      </c>
      <c r="D29" s="4" t="n">
        <v>162653</v>
      </c>
      <c r="E29" s="4" t="n">
        <v>73610</v>
      </c>
      <c r="F29" s="4" t="n">
        <v>-25595</v>
      </c>
      <c r="H29" s="4" t="n"/>
      <c r="I29" s="4" t="n"/>
      <c r="J29" s="4" t="n"/>
      <c r="K29" s="4" t="n">
        <v>5989</v>
      </c>
      <c r="L29" s="4" t="n">
        <v>5730</v>
      </c>
      <c r="M29" s="4" t="n">
        <v>819</v>
      </c>
      <c r="N29" s="4" t="n">
        <v>-38133</v>
      </c>
    </row>
    <row r="30">
      <c r="B30" s="3" t="inlineStr">
        <is>
          <t>Net Income (Loss)</t>
        </is>
      </c>
      <c r="C30" s="4">
        <f>C28-C29</f>
        <v/>
      </c>
      <c r="D30" s="4">
        <f>D28-D29</f>
        <v/>
      </c>
      <c r="E30" s="4">
        <f>E28-E29</f>
        <v/>
      </c>
      <c r="F30" s="4">
        <f>F28-F29</f>
        <v/>
      </c>
      <c r="H30" s="4" t="n"/>
      <c r="I30" s="4" t="n"/>
      <c r="J30" s="4" t="n"/>
      <c r="K30" s="4">
        <f>K28-K29</f>
        <v/>
      </c>
      <c r="L30" s="4">
        <f>L28-L29</f>
        <v/>
      </c>
      <c r="M30" s="4">
        <f>M28-M29</f>
        <v/>
      </c>
      <c r="N30" s="4">
        <f>N28-N29</f>
        <v/>
      </c>
    </row>
    <row r="31"/>
    <row r="32">
      <c r="B32" s="2" t="inlineStr">
        <is>
          <t>Reference Items</t>
        </is>
      </c>
    </row>
    <row r="33">
      <c r="B33" t="inlineStr">
        <is>
          <t>EBITDA</t>
        </is>
      </c>
      <c r="C33" s="4">
        <f>C26+C24+C25</f>
        <v/>
      </c>
      <c r="D33" s="4">
        <f>D26+D24+D25</f>
        <v/>
      </c>
      <c r="E33" s="4">
        <f>E26+E24+E25</f>
        <v/>
      </c>
      <c r="F33" s="4">
        <f>F26+F24+F25</f>
        <v/>
      </c>
      <c r="H33" s="4" t="n"/>
      <c r="I33" s="4" t="n"/>
      <c r="J33" s="4" t="n"/>
      <c r="K33" s="4">
        <f>K26+K24+K25</f>
        <v/>
      </c>
      <c r="L33" s="4">
        <f>L26+L24+L25</f>
        <v/>
      </c>
      <c r="M33" s="4">
        <f>M26+M24+M25</f>
        <v/>
      </c>
      <c r="N33" s="4">
        <f>N26+N24+N25</f>
        <v/>
      </c>
    </row>
    <row r="34">
      <c r="B34" t="inlineStr">
        <is>
          <t>Gross Margin</t>
        </is>
      </c>
      <c r="C34" s="5">
        <f>C22/C20</f>
        <v/>
      </c>
      <c r="D34" s="5">
        <f>D22/D20</f>
        <v/>
      </c>
      <c r="E34" s="5">
        <f>E22/E20</f>
        <v/>
      </c>
      <c r="F34" s="5">
        <f>F22/F20</f>
        <v/>
      </c>
      <c r="H34" s="5" t="n"/>
      <c r="I34" s="5" t="n"/>
      <c r="J34" s="5" t="n"/>
      <c r="K34" s="5">
        <f>K22/K20</f>
        <v/>
      </c>
      <c r="L34" s="5">
        <f>L22/L20</f>
        <v/>
      </c>
      <c r="M34" s="5">
        <f>M22/M20</f>
        <v/>
      </c>
      <c r="N34" s="5">
        <f>N22/N20</f>
        <v/>
      </c>
    </row>
    <row r="35">
      <c r="B35" t="inlineStr">
        <is>
          <t>Operating Margin</t>
        </is>
      </c>
      <c r="C35" s="5">
        <f>C26/C20</f>
        <v/>
      </c>
      <c r="D35" s="5">
        <f>D26/D20</f>
        <v/>
      </c>
      <c r="E35" s="5">
        <f>E26/E20</f>
        <v/>
      </c>
      <c r="F35" s="5">
        <f>F26/F20</f>
        <v/>
      </c>
      <c r="H35" s="5" t="n"/>
      <c r="I35" s="5" t="n"/>
      <c r="J35" s="5" t="n"/>
      <c r="K35" s="5">
        <f>K26/K20</f>
        <v/>
      </c>
      <c r="L35" s="5">
        <f>L26/L20</f>
        <v/>
      </c>
      <c r="M35" s="5">
        <f>M26/M20</f>
        <v/>
      </c>
      <c r="N35" s="5">
        <f>N26/N20</f>
        <v/>
      </c>
    </row>
    <row r="36">
      <c r="B36" t="inlineStr">
        <is>
          <t>Net Profit Margin</t>
        </is>
      </c>
      <c r="C36" s="5">
        <f>C30/C20</f>
        <v/>
      </c>
      <c r="D36" s="5">
        <f>D30/D20</f>
        <v/>
      </c>
      <c r="E36" s="5">
        <f>E30/E20</f>
        <v/>
      </c>
      <c r="F36" s="5">
        <f>F30/F20</f>
        <v/>
      </c>
      <c r="H36" s="5" t="n"/>
      <c r="I36" s="5" t="n"/>
      <c r="J36" s="5" t="n"/>
      <c r="K36" s="5">
        <f>K30/K20</f>
        <v/>
      </c>
      <c r="L36" s="5">
        <f>L30/L20</f>
        <v/>
      </c>
      <c r="M36" s="5">
        <f>M30/M20</f>
        <v/>
      </c>
      <c r="N36" s="5">
        <f>N30/N20</f>
        <v/>
      </c>
    </row>
    <row r="37"/>
    <row r="38"/>
    <row r="39">
      <c r="A39" t="inlineStr">
        <is>
          <t>x</t>
        </is>
      </c>
      <c r="B39" s="2" t="inlineStr">
        <is>
          <t>BALANCE SHEET - In Thousands of USD</t>
        </is>
      </c>
      <c r="C39" s="2" t="inlineStr">
        <is>
          <t>FY 2021</t>
        </is>
      </c>
      <c r="D39" s="2" t="inlineStr">
        <is>
          <t>FY 2022</t>
        </is>
      </c>
      <c r="E39" s="2" t="inlineStr">
        <is>
          <t>FY 2023</t>
        </is>
      </c>
      <c r="F39" s="2" t="inlineStr">
        <is>
          <t>FY 2024</t>
        </is>
      </c>
      <c r="H39" s="2" t="n"/>
      <c r="I39" s="2" t="n"/>
      <c r="J39" s="2" t="n"/>
      <c r="K39" s="2" t="n"/>
    </row>
    <row r="40">
      <c r="B40" t="inlineStr">
        <is>
          <t>Period Ending</t>
        </is>
      </c>
      <c r="C40" t="inlineStr">
        <is>
          <t>12/31/2021</t>
        </is>
      </c>
      <c r="D40" t="inlineStr">
        <is>
          <t>12/31/2022</t>
        </is>
      </c>
      <c r="E40" t="inlineStr">
        <is>
          <t>12/31/2023</t>
        </is>
      </c>
      <c r="F40" t="inlineStr">
        <is>
          <t>12/31/2024</t>
        </is>
      </c>
    </row>
    <row r="41">
      <c r="B41" s="2" t="inlineStr">
        <is>
          <t>ASSETS</t>
        </is>
      </c>
    </row>
    <row r="42">
      <c r="B42" t="inlineStr">
        <is>
          <t>+ Cash and Cash Equivalents</t>
        </is>
      </c>
      <c r="C42" s="4" t="n">
        <v>180928</v>
      </c>
      <c r="D42" s="4" t="n">
        <v>64524</v>
      </c>
      <c r="E42" s="4" t="n">
        <v>32935</v>
      </c>
      <c r="F42" s="4" t="n">
        <v>10649</v>
      </c>
      <c r="H42" s="4" t="n"/>
      <c r="I42" s="4" t="n"/>
      <c r="J42" s="4" t="n"/>
      <c r="K42" s="4" t="n"/>
    </row>
    <row r="43">
      <c r="B43" t="inlineStr">
        <is>
          <t>+ Accounts Receivable, net</t>
        </is>
      </c>
      <c r="C43" s="4" t="n">
        <v>789131</v>
      </c>
      <c r="D43" s="4" t="n">
        <v>675650</v>
      </c>
      <c r="E43" s="4" t="n">
        <v>623488</v>
      </c>
      <c r="F43" s="4" t="n">
        <v>437817</v>
      </c>
      <c r="H43" s="4" t="n"/>
      <c r="I43" s="4" t="n"/>
      <c r="J43" s="4" t="n"/>
      <c r="K43" s="4" t="n"/>
    </row>
    <row r="44">
      <c r="B44" t="inlineStr">
        <is>
          <t>+ Subcontractor Receivables</t>
        </is>
      </c>
      <c r="C44" s="4" t="n">
        <v>239719</v>
      </c>
      <c r="D44" s="4" t="n">
        <v>268726</v>
      </c>
      <c r="E44" s="4" t="n">
        <v>117703</v>
      </c>
      <c r="F44" s="4" t="n">
        <v>70481</v>
      </c>
      <c r="H44" s="4" t="n"/>
      <c r="I44" s="4" t="n"/>
      <c r="J44" s="4" t="n"/>
      <c r="K44" s="4" t="n"/>
    </row>
    <row r="45">
      <c r="B45" t="inlineStr">
        <is>
          <t>+ Prepaid &amp; Other Current</t>
        </is>
      </c>
      <c r="C45" s="4" t="n">
        <v>139290</v>
      </c>
      <c r="D45" s="4" t="n">
        <v>84745</v>
      </c>
      <c r="E45" s="4" t="n">
        <v>67559</v>
      </c>
      <c r="F45" s="4" t="n">
        <v>75968</v>
      </c>
      <c r="H45" s="4" t="n"/>
      <c r="I45" s="4" t="n"/>
      <c r="J45" s="4" t="n"/>
      <c r="K45" s="4" t="n"/>
    </row>
    <row r="46">
      <c r="B46" s="3" t="inlineStr">
        <is>
          <t>Total Current Assets</t>
        </is>
      </c>
      <c r="C46" s="4">
        <f>C42+C43+C44+C45</f>
        <v/>
      </c>
      <c r="D46" s="4">
        <f>D42+D43+D44+D45</f>
        <v/>
      </c>
      <c r="E46" s="4">
        <f>E42+E43+E44+E45</f>
        <v/>
      </c>
      <c r="F46" s="4">
        <f>F42+F43+F44+F45</f>
        <v/>
      </c>
      <c r="H46" s="4" t="n"/>
      <c r="I46" s="4" t="n"/>
      <c r="J46" s="4" t="n"/>
      <c r="K46" s="4" t="n"/>
    </row>
    <row r="47">
      <c r="B47" t="inlineStr">
        <is>
          <t>+ Restricted Cash &amp; Investments</t>
        </is>
      </c>
      <c r="C47" s="4" t="n">
        <v>64482</v>
      </c>
      <c r="D47" s="4" t="n">
        <v>61218</v>
      </c>
      <c r="E47" s="4" t="n">
        <v>68845</v>
      </c>
      <c r="F47" s="4" t="n">
        <v>71840</v>
      </c>
      <c r="H47" s="4" t="n"/>
      <c r="I47" s="4" t="n"/>
      <c r="J47" s="4" t="n"/>
      <c r="K47" s="4" t="n"/>
    </row>
    <row r="48">
      <c r="B48" t="inlineStr">
        <is>
          <t>+ Fixed Assets, net</t>
        </is>
      </c>
      <c r="C48" s="4" t="n">
        <v>127114</v>
      </c>
      <c r="D48" s="4" t="n">
        <v>149276</v>
      </c>
      <c r="E48" s="4" t="n">
        <v>191385</v>
      </c>
      <c r="F48" s="4" t="n">
        <v>186270</v>
      </c>
      <c r="H48" s="4" t="n"/>
      <c r="I48" s="4" t="n"/>
      <c r="J48" s="4" t="n"/>
      <c r="K48" s="4" t="n"/>
    </row>
    <row r="49">
      <c r="B49" t="inlineStr">
        <is>
          <t>+ Other Assets</t>
        </is>
      </c>
      <c r="C49" s="4" t="n">
        <v>156670</v>
      </c>
      <c r="D49" s="4" t="n">
        <v>172016</v>
      </c>
      <c r="E49" s="4" t="n">
        <v>236796</v>
      </c>
      <c r="F49" s="4" t="n">
        <v>258053</v>
      </c>
      <c r="H49" s="4" t="n"/>
      <c r="I49" s="4" t="n"/>
      <c r="J49" s="4" t="n"/>
      <c r="K49" s="4" t="n"/>
    </row>
    <row r="50">
      <c r="B50" t="inlineStr">
        <is>
          <t>+ Deferred Tax Assets</t>
        </is>
      </c>
      <c r="C50" s="4" t="n">
        <v>0</v>
      </c>
      <c r="D50" s="4" t="n">
        <v>0</v>
      </c>
      <c r="E50" s="4" t="n">
        <v>0</v>
      </c>
      <c r="F50" s="4" t="n">
        <v>25829</v>
      </c>
      <c r="H50" s="4" t="n"/>
      <c r="I50" s="4" t="n"/>
      <c r="J50" s="4" t="n"/>
      <c r="K50" s="4" t="n"/>
    </row>
    <row r="51">
      <c r="B51" t="inlineStr">
        <is>
          <t>+ Goodwill</t>
        </is>
      </c>
      <c r="C51" s="4" t="n">
        <v>892341</v>
      </c>
      <c r="D51" s="4" t="n">
        <v>935364</v>
      </c>
      <c r="E51" s="4" t="n">
        <v>1111549</v>
      </c>
      <c r="F51" s="4" t="n">
        <v>897456</v>
      </c>
      <c r="H51" s="4" t="n"/>
      <c r="I51" s="4" t="n"/>
      <c r="J51" s="4" t="n"/>
      <c r="K51" s="4" t="n"/>
    </row>
    <row r="52">
      <c r="B52" t="inlineStr">
        <is>
          <t>+ Intangible Assets, net</t>
        </is>
      </c>
      <c r="C52" s="4" t="n">
        <v>514460</v>
      </c>
      <c r="D52" s="4" t="n">
        <v>476832</v>
      </c>
      <c r="E52" s="4" t="n">
        <v>474134</v>
      </c>
      <c r="F52" s="4" t="n">
        <v>381364</v>
      </c>
      <c r="H52" s="4" t="n"/>
      <c r="I52" s="4" t="n"/>
      <c r="J52" s="4" t="n"/>
      <c r="K52" s="4" t="n"/>
    </row>
    <row r="53">
      <c r="B53" s="3" t="inlineStr">
        <is>
          <t>Total Assets</t>
        </is>
      </c>
      <c r="C53" s="4">
        <f>C46+C47+C48+C49+C50+C51+C52</f>
        <v/>
      </c>
      <c r="D53" s="4">
        <f>D46+D47+D48+D49+D50+D51+D52</f>
        <v/>
      </c>
      <c r="E53" s="4">
        <f>E46+E47+E48+E49+E50+E51+E52</f>
        <v/>
      </c>
      <c r="F53" s="4">
        <f>F46+F47+F48+F49+F50+F51+F52</f>
        <v/>
      </c>
      <c r="H53" s="4" t="n"/>
      <c r="I53" s="4" t="n"/>
      <c r="J53" s="4" t="n"/>
      <c r="K53" s="4" t="n"/>
    </row>
    <row r="54"/>
    <row r="55">
      <c r="B55" s="2" t="inlineStr">
        <is>
          <t>LIABILITIES &amp; SHAREHOLDERS' EQUITY</t>
        </is>
      </c>
    </row>
    <row r="56">
      <c r="B56" t="inlineStr">
        <is>
          <t>+ Accounts Payable &amp; Accrued</t>
        </is>
      </c>
      <c r="C56" s="4" t="n">
        <v>425257</v>
      </c>
      <c r="D56" s="4" t="n">
        <v>476452</v>
      </c>
      <c r="E56" s="4" t="n">
        <v>343847</v>
      </c>
      <c r="F56" s="4" t="n">
        <v>184311</v>
      </c>
      <c r="H56" s="4" t="n"/>
      <c r="I56" s="4" t="n"/>
      <c r="J56" s="4" t="n"/>
      <c r="K56" s="4" t="n"/>
    </row>
    <row r="57">
      <c r="B57" t="inlineStr">
        <is>
          <t>+ Accrued Compensation &amp; Benefits</t>
        </is>
      </c>
      <c r="C57" s="4" t="n">
        <v>354381</v>
      </c>
      <c r="D57" s="4" t="n">
        <v>333244</v>
      </c>
      <c r="E57" s="4" t="n">
        <v>278536</v>
      </c>
      <c r="F57" s="4" t="n">
        <v>287544</v>
      </c>
      <c r="H57" s="4" t="n"/>
      <c r="I57" s="4" t="n"/>
      <c r="J57" s="4" t="n"/>
      <c r="K57" s="4" t="n"/>
    </row>
    <row r="58">
      <c r="B58" t="inlineStr">
        <is>
          <t>+ Other Current Liabilities</t>
        </is>
      </c>
      <c r="C58" s="4" t="n">
        <v>189752</v>
      </c>
      <c r="D58" s="4" t="n">
        <v>48237</v>
      </c>
      <c r="E58" s="4" t="n">
        <v>33738</v>
      </c>
      <c r="F58" s="4" t="n">
        <v>73930</v>
      </c>
      <c r="H58" s="4" t="n"/>
      <c r="I58" s="4" t="n"/>
      <c r="J58" s="4" t="n"/>
      <c r="K58" s="4" t="n"/>
    </row>
    <row r="59">
      <c r="B59" s="3" t="inlineStr">
        <is>
          <t>Total Current Liabilities</t>
        </is>
      </c>
      <c r="C59" s="4">
        <f>C56+C57+C58</f>
        <v/>
      </c>
      <c r="D59" s="4">
        <f>D56+D57+D58</f>
        <v/>
      </c>
      <c r="E59" s="4">
        <f>E56+E57+E58</f>
        <v/>
      </c>
      <c r="F59" s="4">
        <f>F56+F57+F58</f>
        <v/>
      </c>
      <c r="H59" s="4" t="n"/>
      <c r="I59" s="4" t="n"/>
      <c r="J59" s="4" t="n"/>
      <c r="K59" s="4" t="n"/>
    </row>
    <row r="60">
      <c r="B60" t="inlineStr">
        <is>
          <t>+ Revolving Credit Facility</t>
        </is>
      </c>
      <c r="C60" s="4" t="n">
        <v>0</v>
      </c>
      <c r="D60" s="4" t="n">
        <v>0</v>
      </c>
      <c r="E60" s="4" t="n">
        <v>460000</v>
      </c>
      <c r="F60" s="4" t="n">
        <v>210000</v>
      </c>
      <c r="H60" s="4" t="n"/>
      <c r="I60" s="4" t="n"/>
      <c r="J60" s="4" t="n"/>
      <c r="K60" s="4" t="n"/>
    </row>
    <row r="61">
      <c r="B61" t="inlineStr">
        <is>
          <t>+ Notes Payable, net</t>
        </is>
      </c>
      <c r="C61" s="4" t="n">
        <v>842322</v>
      </c>
      <c r="D61" s="4" t="n">
        <v>843505</v>
      </c>
      <c r="E61" s="4" t="n">
        <v>844688</v>
      </c>
      <c r="F61" s="4" t="n">
        <v>845872</v>
      </c>
      <c r="H61" s="4" t="n"/>
      <c r="I61" s="4" t="n"/>
      <c r="J61" s="4" t="n"/>
      <c r="K61" s="4" t="n"/>
    </row>
    <row r="62">
      <c r="B62" t="inlineStr">
        <is>
          <t>+ Deferred Income Taxes</t>
        </is>
      </c>
      <c r="C62" s="4" t="n">
        <v>47814</v>
      </c>
      <c r="D62" s="4" t="n">
        <v>22713</v>
      </c>
      <c r="E62" s="4" t="n">
        <v>23350</v>
      </c>
      <c r="F62" s="4" t="n">
        <v>0</v>
      </c>
      <c r="H62" s="4" t="n"/>
      <c r="I62" s="4" t="n"/>
      <c r="J62" s="4" t="n"/>
      <c r="K62" s="4" t="n"/>
    </row>
    <row r="63">
      <c r="B63" t="inlineStr">
        <is>
          <t>+ Other Long-term Liabilities</t>
        </is>
      </c>
      <c r="C63" s="4" t="n">
        <v>110353</v>
      </c>
      <c r="D63" s="4" t="n">
        <v>120566</v>
      </c>
      <c r="E63" s="4" t="n">
        <v>108979</v>
      </c>
      <c r="F63" s="4" t="n">
        <v>107450</v>
      </c>
      <c r="H63" s="4" t="n"/>
      <c r="I63" s="4" t="n"/>
      <c r="J63" s="4" t="n"/>
      <c r="K63" s="4" t="n"/>
    </row>
    <row r="64">
      <c r="B64" s="3" t="inlineStr">
        <is>
          <t>Total Liabilities</t>
        </is>
      </c>
      <c r="C64" s="4">
        <f>C59+C60+C61+C62+C63</f>
        <v/>
      </c>
      <c r="D64" s="4">
        <f>D59+D60+D61+D62+D63</f>
        <v/>
      </c>
      <c r="E64" s="4">
        <f>E59+E60+E61+E62+E63</f>
        <v/>
      </c>
      <c r="F64" s="4">
        <f>F59+F60+F61+F62+F63</f>
        <v/>
      </c>
      <c r="H64" s="4" t="n"/>
      <c r="I64" s="4" t="n"/>
      <c r="J64" s="4" t="n"/>
      <c r="K64" s="4" t="n"/>
    </row>
    <row r="65">
      <c r="B65" s="3" t="inlineStr">
        <is>
          <t>Stockholders' Equity</t>
        </is>
      </c>
      <c r="C65" s="4">
        <f>C53-C64</f>
        <v/>
      </c>
      <c r="D65" s="4">
        <f>D53-D64</f>
        <v/>
      </c>
      <c r="E65" s="4">
        <f>E53-E64</f>
        <v/>
      </c>
      <c r="F65" s="4">
        <f>F53-F64</f>
        <v/>
      </c>
      <c r="H65" s="4" t="n"/>
      <c r="I65" s="4" t="n"/>
      <c r="J65" s="4" t="n"/>
      <c r="K65" s="4" t="n"/>
    </row>
    <row r="66">
      <c r="B66" s="3" t="inlineStr">
        <is>
          <t>Total Liabilities &amp; Equity</t>
        </is>
      </c>
      <c r="C66" s="4">
        <f>C64+C65</f>
        <v/>
      </c>
      <c r="D66" s="4">
        <f>D64+D65</f>
        <v/>
      </c>
      <c r="E66" s="4">
        <f>E64+E65</f>
        <v/>
      </c>
      <c r="F66" s="4">
        <f>F64+F65</f>
        <v/>
      </c>
      <c r="H66" s="4" t="n"/>
      <c r="I66" s="4" t="n"/>
      <c r="J66" s="4" t="n"/>
      <c r="K66" s="4" t="n"/>
    </row>
    <row r="67"/>
    <row r="68">
      <c r="B68" t="inlineStr">
        <is>
          <t>Check A=L+E</t>
        </is>
      </c>
      <c r="C68" s="4">
        <f>C53-C66</f>
        <v/>
      </c>
      <c r="D68" s="4">
        <f>D53-D66</f>
        <v/>
      </c>
      <c r="E68" s="4">
        <f>E53-E66</f>
        <v/>
      </c>
      <c r="F68" s="4">
        <f>F53-F66</f>
        <v/>
      </c>
      <c r="H68" s="4" t="n"/>
      <c r="I68" s="4" t="n"/>
      <c r="J68" s="4" t="n"/>
      <c r="K68" s="4" t="n"/>
    </row>
    <row r="69"/>
    <row r="70"/>
    <row r="71">
      <c r="A71" t="inlineStr">
        <is>
          <t>x</t>
        </is>
      </c>
      <c r="B71" s="2" t="inlineStr">
        <is>
          <t>INTEREST EXPENSE AND DEBT SCHEDULE</t>
        </is>
      </c>
      <c r="C71" s="2" t="inlineStr">
        <is>
          <t>FY 2021</t>
        </is>
      </c>
      <c r="D71" s="2" t="inlineStr">
        <is>
          <t>FY 2022</t>
        </is>
      </c>
      <c r="E71" s="2" t="inlineStr">
        <is>
          <t>FY 2023</t>
        </is>
      </c>
      <c r="F71" s="2" t="inlineStr">
        <is>
          <t>FY 2024</t>
        </is>
      </c>
    </row>
    <row r="72">
      <c r="B72" t="inlineStr">
        <is>
          <t>Interest Expense</t>
        </is>
      </c>
      <c r="C72" s="4">
        <f>C27</f>
        <v/>
      </c>
      <c r="D72" s="4">
        <f>D27</f>
        <v/>
      </c>
      <c r="E72" s="4">
        <f>E27</f>
        <v/>
      </c>
      <c r="F72" s="4">
        <f>F27</f>
        <v/>
      </c>
    </row>
    <row r="73">
      <c r="B73" t="inlineStr">
        <is>
          <t>Total Debt</t>
        </is>
      </c>
      <c r="C73" s="4">
        <f>C60+C61</f>
        <v/>
      </c>
      <c r="D73" s="4">
        <f>D60+D61</f>
        <v/>
      </c>
      <c r="E73" s="4">
        <f>E60+E61</f>
        <v/>
      </c>
      <c r="F73" s="4">
        <f>F60+F61</f>
        <v/>
      </c>
    </row>
    <row r="74">
      <c r="B74" t="inlineStr">
        <is>
          <t>Implied Interest Rate</t>
        </is>
      </c>
      <c r="C74" s="5">
        <f>IF(C73&gt;0,C72/C73,0)</f>
        <v/>
      </c>
      <c r="D74" s="5">
        <f>IF(D73&gt;0,D72/D73,0)</f>
        <v/>
      </c>
      <c r="E74" s="5">
        <f>IF(E73&gt;0,E72/E73,0)</f>
        <v/>
      </c>
      <c r="F74" s="5">
        <f>IF(F73&gt;0,F72/F73,0)</f>
        <v/>
      </c>
    </row>
    <row r="75">
      <c r="B75" t="inlineStr">
        <is>
          <t>Debt / EBITDA</t>
        </is>
      </c>
      <c r="C75" s="6">
        <f>IF(C33&gt;0,C73/C33,0)</f>
        <v/>
      </c>
      <c r="D75" s="6">
        <f>IF(D33&gt;0,D73/D33,0)</f>
        <v/>
      </c>
      <c r="E75" s="6">
        <f>IF(E33&gt;0,E73/E33,0)</f>
        <v/>
      </c>
      <c r="F75" s="6">
        <f>IF(F33&gt;0,F73/F33,0)</f>
        <v/>
      </c>
    </row>
    <row r="76"/>
    <row r="77"/>
    <row r="78">
      <c r="A78" t="inlineStr">
        <is>
          <t>x</t>
        </is>
      </c>
      <c r="B78" s="2" t="inlineStr">
        <is>
          <t>PPE AND CAPEX SCHEDULE</t>
        </is>
      </c>
      <c r="D78" s="2" t="inlineStr">
        <is>
          <t>FY 2022</t>
        </is>
      </c>
      <c r="E78" s="2" t="inlineStr">
        <is>
          <t>FY 2023</t>
        </is>
      </c>
      <c r="F78" s="2" t="inlineStr">
        <is>
          <t>FY 2024</t>
        </is>
      </c>
    </row>
    <row r="79">
      <c r="B79" t="inlineStr">
        <is>
          <t>CapEx (implied)</t>
        </is>
      </c>
      <c r="D79" s="4">
        <f>D48-C48+D24</f>
        <v/>
      </c>
      <c r="E79" s="4">
        <f>E48-D48+E24</f>
        <v/>
      </c>
      <c r="F79" s="4">
        <f>F48-E48+F24</f>
        <v/>
      </c>
    </row>
    <row r="80">
      <c r="B80" t="inlineStr">
        <is>
          <t>Revenue</t>
        </is>
      </c>
      <c r="D80" s="4">
        <f>D20</f>
        <v/>
      </c>
      <c r="E80" s="4">
        <f>E20</f>
        <v/>
      </c>
      <c r="F80" s="4">
        <f>F20</f>
        <v/>
      </c>
    </row>
    <row r="81">
      <c r="B81" t="inlineStr">
        <is>
          <t>CapEx as % of Revenue</t>
        </is>
      </c>
      <c r="D81" s="5">
        <f>D79/D80</f>
        <v/>
      </c>
      <c r="E81" s="5">
        <f>E79/E80</f>
        <v/>
      </c>
      <c r="F81" s="5">
        <f>F79/F80</f>
        <v/>
      </c>
    </row>
    <row r="82"/>
    <row r="83">
      <c r="B83" t="inlineStr">
        <is>
          <t>Depreciation &amp; Amortization</t>
        </is>
      </c>
      <c r="D83" s="4">
        <f>D24</f>
        <v/>
      </c>
      <c r="E83" s="4">
        <f>E24</f>
        <v/>
      </c>
      <c r="F83" s="4">
        <f>F24</f>
        <v/>
      </c>
    </row>
    <row r="84">
      <c r="B84" t="inlineStr">
        <is>
          <t>D&amp;A as % of Revenue</t>
        </is>
      </c>
      <c r="D84" s="5">
        <f>D83/D80</f>
        <v/>
      </c>
      <c r="E84" s="5">
        <f>E83/E80</f>
        <v/>
      </c>
      <c r="F84" s="5">
        <f>F83/F80</f>
        <v/>
      </c>
    </row>
    <row r="85"/>
    <row r="86"/>
    <row r="87">
      <c r="B87" s="2" t="inlineStr">
        <is>
          <t>COMMON SIZE BALANCE SHEET</t>
        </is>
      </c>
    </row>
    <row r="88">
      <c r="A88" t="inlineStr">
        <is>
          <t>x</t>
        </is>
      </c>
      <c r="B88" s="2" t="inlineStr">
        <is>
          <t>Balance Sheet Items as % of Revenue</t>
        </is>
      </c>
      <c r="C88" s="2" t="inlineStr">
        <is>
          <t>FY 2021</t>
        </is>
      </c>
      <c r="D88" s="2" t="inlineStr">
        <is>
          <t>FY 2022</t>
        </is>
      </c>
      <c r="E88" s="2" t="inlineStr">
        <is>
          <t>FY 2023</t>
        </is>
      </c>
      <c r="F88" s="2" t="inlineStr">
        <is>
          <t>FY 2024</t>
        </is>
      </c>
    </row>
    <row r="89">
      <c r="B89" s="2" t="inlineStr">
        <is>
          <t>ASSETS</t>
        </is>
      </c>
    </row>
    <row r="90">
      <c r="B90" t="inlineStr">
        <is>
          <t>+ Cash and Cash Equivalents</t>
        </is>
      </c>
      <c r="C90" s="5">
        <f>C42/C20</f>
        <v/>
      </c>
      <c r="D90" s="5">
        <f>D42/D20</f>
        <v/>
      </c>
      <c r="E90" s="5">
        <f>E42/E20</f>
        <v/>
      </c>
      <c r="F90" s="5">
        <f>F42/F20</f>
        <v/>
      </c>
    </row>
    <row r="91">
      <c r="B91" t="inlineStr">
        <is>
          <t>+ Accounts Receivable, net</t>
        </is>
      </c>
      <c r="C91" s="5">
        <f>C43/C20</f>
        <v/>
      </c>
      <c r="D91" s="5">
        <f>D43/D20</f>
        <v/>
      </c>
      <c r="E91" s="5">
        <f>E43/E20</f>
        <v/>
      </c>
      <c r="F91" s="5">
        <f>F43/F20</f>
        <v/>
      </c>
    </row>
    <row r="92">
      <c r="B92" t="inlineStr">
        <is>
          <t>+ Subcontractor Receivables</t>
        </is>
      </c>
      <c r="C92" s="5">
        <f>C44/C20</f>
        <v/>
      </c>
      <c r="D92" s="5">
        <f>D44/D20</f>
        <v/>
      </c>
      <c r="E92" s="5">
        <f>E44/E20</f>
        <v/>
      </c>
      <c r="F92" s="5">
        <f>F44/F20</f>
        <v/>
      </c>
    </row>
    <row r="93">
      <c r="B93" t="inlineStr">
        <is>
          <t>+ Prepaid &amp; Other Current</t>
        </is>
      </c>
      <c r="C93" s="5">
        <f>C45/C20</f>
        <v/>
      </c>
      <c r="D93" s="5">
        <f>D45/D20</f>
        <v/>
      </c>
      <c r="E93" s="5">
        <f>E45/E20</f>
        <v/>
      </c>
      <c r="F93" s="5">
        <f>F45/F20</f>
        <v/>
      </c>
    </row>
    <row r="94">
      <c r="B94" s="3" t="inlineStr">
        <is>
          <t>Total Current Assets</t>
        </is>
      </c>
      <c r="C94" s="5">
        <f>C46/C20</f>
        <v/>
      </c>
      <c r="D94" s="5">
        <f>D46/D20</f>
        <v/>
      </c>
      <c r="E94" s="5">
        <f>E46/E20</f>
        <v/>
      </c>
      <c r="F94" s="5">
        <f>F46/F20</f>
        <v/>
      </c>
    </row>
    <row r="95">
      <c r="B95" t="inlineStr">
        <is>
          <t>+ Restricted Cash &amp; Investments</t>
        </is>
      </c>
      <c r="C95" s="5">
        <f>C47/C20</f>
        <v/>
      </c>
      <c r="D95" s="5">
        <f>D47/D20</f>
        <v/>
      </c>
      <c r="E95" s="5">
        <f>E47/E20</f>
        <v/>
      </c>
      <c r="F95" s="5">
        <f>F47/F20</f>
        <v/>
      </c>
    </row>
    <row r="96">
      <c r="B96" t="inlineStr">
        <is>
          <t>+ Fixed Assets, net</t>
        </is>
      </c>
      <c r="C96" s="5">
        <f>C48/C20</f>
        <v/>
      </c>
      <c r="D96" s="5">
        <f>D48/D20</f>
        <v/>
      </c>
      <c r="E96" s="5">
        <f>E48/E20</f>
        <v/>
      </c>
      <c r="F96" s="5">
        <f>F48/F20</f>
        <v/>
      </c>
    </row>
    <row r="97">
      <c r="B97" t="inlineStr">
        <is>
          <t>+ Other Assets</t>
        </is>
      </c>
      <c r="C97" s="5">
        <f>C49/C20</f>
        <v/>
      </c>
      <c r="D97" s="5">
        <f>D49/D20</f>
        <v/>
      </c>
      <c r="E97" s="5">
        <f>E49/E20</f>
        <v/>
      </c>
      <c r="F97" s="5">
        <f>F49/F20</f>
        <v/>
      </c>
    </row>
    <row r="98">
      <c r="B98" t="inlineStr">
        <is>
          <t>+ Deferred Tax Assets</t>
        </is>
      </c>
      <c r="C98" s="5">
        <f>C50/C20</f>
        <v/>
      </c>
      <c r="D98" s="5">
        <f>D50/D20</f>
        <v/>
      </c>
      <c r="E98" s="5">
        <f>E50/E20</f>
        <v/>
      </c>
      <c r="F98" s="5">
        <f>F50/F20</f>
        <v/>
      </c>
    </row>
    <row r="99">
      <c r="B99" t="inlineStr">
        <is>
          <t>+ Goodwill</t>
        </is>
      </c>
      <c r="C99" s="5">
        <f>C51/C20</f>
        <v/>
      </c>
      <c r="D99" s="5">
        <f>D51/D20</f>
        <v/>
      </c>
      <c r="E99" s="5">
        <f>E51/E20</f>
        <v/>
      </c>
      <c r="F99" s="5">
        <f>F51/F20</f>
        <v/>
      </c>
    </row>
    <row r="100">
      <c r="B100" t="inlineStr">
        <is>
          <t>+ Intangible Assets, net</t>
        </is>
      </c>
      <c r="C100" s="5">
        <f>C52/C20</f>
        <v/>
      </c>
      <c r="D100" s="5">
        <f>D52/D20</f>
        <v/>
      </c>
      <c r="E100" s="5">
        <f>E52/E20</f>
        <v/>
      </c>
      <c r="F100" s="5">
        <f>F52/F20</f>
        <v/>
      </c>
    </row>
    <row r="101">
      <c r="B101" s="3" t="inlineStr">
        <is>
          <t>Total Assets</t>
        </is>
      </c>
      <c r="C101" s="5">
        <f>C53/C20</f>
        <v/>
      </c>
      <c r="D101" s="5">
        <f>D53/D20</f>
        <v/>
      </c>
      <c r="E101" s="5">
        <f>E53/E20</f>
        <v/>
      </c>
      <c r="F101" s="5">
        <f>F53/F20</f>
        <v/>
      </c>
    </row>
    <row r="102"/>
    <row r="103">
      <c r="B103" s="2" t="inlineStr">
        <is>
          <t>LIABILITIES &amp; EQUITY</t>
        </is>
      </c>
    </row>
    <row r="104">
      <c r="B104" t="inlineStr">
        <is>
          <t>+ Accounts Payable &amp; Accrued</t>
        </is>
      </c>
      <c r="C104" s="5">
        <f>C56/C20</f>
        <v/>
      </c>
      <c r="D104" s="5">
        <f>D56/D20</f>
        <v/>
      </c>
      <c r="E104" s="5">
        <f>E56/E20</f>
        <v/>
      </c>
      <c r="F104" s="5">
        <f>F56/F20</f>
        <v/>
      </c>
    </row>
    <row r="105">
      <c r="B105" t="inlineStr">
        <is>
          <t>+ Accrued Compensation &amp; Benefits</t>
        </is>
      </c>
      <c r="C105" s="5">
        <f>C57/C20</f>
        <v/>
      </c>
      <c r="D105" s="5">
        <f>D57/D20</f>
        <v/>
      </c>
      <c r="E105" s="5">
        <f>E57/E20</f>
        <v/>
      </c>
      <c r="F105" s="5">
        <f>F57/F20</f>
        <v/>
      </c>
    </row>
    <row r="106">
      <c r="B106" t="inlineStr">
        <is>
          <t>+ Other Current Liabilities</t>
        </is>
      </c>
      <c r="C106" s="5">
        <f>C58/C20</f>
        <v/>
      </c>
      <c r="D106" s="5">
        <f>D58/D20</f>
        <v/>
      </c>
      <c r="E106" s="5">
        <f>E58/E20</f>
        <v/>
      </c>
      <c r="F106" s="5">
        <f>F58/F20</f>
        <v/>
      </c>
    </row>
    <row r="107">
      <c r="B107" s="3" t="inlineStr">
        <is>
          <t>Total Current Liabilities</t>
        </is>
      </c>
      <c r="C107" s="5">
        <f>C59/C20</f>
        <v/>
      </c>
      <c r="D107" s="5">
        <f>D59/D20</f>
        <v/>
      </c>
      <c r="E107" s="5">
        <f>E59/E20</f>
        <v/>
      </c>
      <c r="F107" s="5">
        <f>F59/F20</f>
        <v/>
      </c>
    </row>
    <row r="108">
      <c r="B108" t="inlineStr">
        <is>
          <t>+ Revolving Credit Facility</t>
        </is>
      </c>
      <c r="C108" s="5">
        <f>C60/C20</f>
        <v/>
      </c>
      <c r="D108" s="5">
        <f>D60/D20</f>
        <v/>
      </c>
      <c r="E108" s="5">
        <f>E60/E20</f>
        <v/>
      </c>
      <c r="F108" s="5">
        <f>F60/F20</f>
        <v/>
      </c>
    </row>
    <row r="109">
      <c r="B109" t="inlineStr">
        <is>
          <t>+ Notes Payable, net</t>
        </is>
      </c>
      <c r="C109" s="5">
        <f>C61/C20</f>
        <v/>
      </c>
      <c r="D109" s="5">
        <f>D61/D20</f>
        <v/>
      </c>
      <c r="E109" s="5">
        <f>E61/E20</f>
        <v/>
      </c>
      <c r="F109" s="5">
        <f>F61/F20</f>
        <v/>
      </c>
    </row>
    <row r="110">
      <c r="B110" t="inlineStr">
        <is>
          <t>+ Deferred Income Taxes</t>
        </is>
      </c>
      <c r="C110" s="5">
        <f>C62/C20</f>
        <v/>
      </c>
      <c r="D110" s="5">
        <f>D62/D20</f>
        <v/>
      </c>
      <c r="E110" s="5">
        <f>E62/E20</f>
        <v/>
      </c>
      <c r="F110" s="5">
        <f>F62/F20</f>
        <v/>
      </c>
    </row>
    <row r="111">
      <c r="B111" t="inlineStr">
        <is>
          <t>+ Other Long-term Liabilities</t>
        </is>
      </c>
      <c r="C111" s="5">
        <f>C63/C20</f>
        <v/>
      </c>
      <c r="D111" s="5">
        <f>D63/D20</f>
        <v/>
      </c>
      <c r="E111" s="5">
        <f>E63/E20</f>
        <v/>
      </c>
      <c r="F111" s="5">
        <f>F63/F20</f>
        <v/>
      </c>
    </row>
    <row r="112">
      <c r="B112" s="3" t="inlineStr">
        <is>
          <t>Total Liabilities</t>
        </is>
      </c>
      <c r="C112" s="5">
        <f>C64/C20</f>
        <v/>
      </c>
      <c r="D112" s="5">
        <f>D64/D20</f>
        <v/>
      </c>
      <c r="E112" s="5">
        <f>E64/E20</f>
        <v/>
      </c>
      <c r="F112" s="5">
        <f>F64/F20</f>
        <v/>
      </c>
    </row>
    <row r="113">
      <c r="B113" s="3" t="inlineStr">
        <is>
          <t>Stockholders' Equity</t>
        </is>
      </c>
      <c r="C113" s="5">
        <f>C65/C20</f>
        <v/>
      </c>
      <c r="D113" s="5">
        <f>D65/D20</f>
        <v/>
      </c>
      <c r="E113" s="5">
        <f>E65/E20</f>
        <v/>
      </c>
      <c r="F113" s="5">
        <f>F65/F20</f>
        <v/>
      </c>
    </row>
    <row r="114">
      <c r="B114" s="3" t="inlineStr">
        <is>
          <t>Total Liabilities &amp; Equity</t>
        </is>
      </c>
      <c r="C114" s="5">
        <f>C66/C20</f>
        <v/>
      </c>
      <c r="D114" s="5">
        <f>D66/D20</f>
        <v/>
      </c>
      <c r="E114" s="5">
        <f>E66/E20</f>
        <v/>
      </c>
      <c r="F114" s="5">
        <f>F66/F20</f>
        <v/>
      </c>
    </row>
    <row r="115"/>
    <row r="116"/>
    <row r="117">
      <c r="A117" t="inlineStr">
        <is>
          <t>x</t>
        </is>
      </c>
      <c r="B117" s="2" t="inlineStr">
        <is>
          <t>EQUITY SCHEDULE</t>
        </is>
      </c>
      <c r="D117" s="2" t="inlineStr">
        <is>
          <t>FY 2022</t>
        </is>
      </c>
      <c r="E117" s="2" t="inlineStr">
        <is>
          <t>FY 2023</t>
        </is>
      </c>
      <c r="F117" s="2" t="inlineStr">
        <is>
          <t>FY 2024</t>
        </is>
      </c>
    </row>
    <row r="118">
      <c r="B118" s="3" t="inlineStr">
        <is>
          <t>Beginning of Period</t>
        </is>
      </c>
      <c r="D118" s="4">
        <f>C65</f>
        <v/>
      </c>
      <c r="E118" s="4">
        <f>D65</f>
        <v/>
      </c>
      <c r="F118" s="4">
        <f>E65</f>
        <v/>
      </c>
    </row>
    <row r="119">
      <c r="B119" t="inlineStr">
        <is>
          <t>+ Net Income</t>
        </is>
      </c>
      <c r="D119" s="4">
        <f>D30</f>
        <v/>
      </c>
      <c r="E119" s="4">
        <f>E30</f>
        <v/>
      </c>
      <c r="F119" s="4">
        <f>F30</f>
        <v/>
      </c>
    </row>
    <row r="120">
      <c r="B120" t="inlineStr">
        <is>
          <t>+ Other Changes (Buybacks/Dividends/OCI)</t>
        </is>
      </c>
      <c r="D120" s="4">
        <f>D65-D118-D119</f>
        <v/>
      </c>
      <c r="E120" s="4">
        <f>E65-E118-E119</f>
        <v/>
      </c>
      <c r="F120" s="4">
        <f>F65-F118-F119</f>
        <v/>
      </c>
    </row>
    <row r="121">
      <c r="B121" s="3" t="inlineStr">
        <is>
          <t>End of Period</t>
        </is>
      </c>
      <c r="D121" s="4">
        <f>D65</f>
        <v/>
      </c>
      <c r="E121" s="4">
        <f>E65</f>
        <v/>
      </c>
      <c r="F121" s="4">
        <f>F65</f>
        <v/>
      </c>
    </row>
    <row r="122"/>
    <row r="123"/>
    <row r="124">
      <c r="A124" t="inlineStr">
        <is>
          <t>x</t>
        </is>
      </c>
      <c r="B124" s="2" t="inlineStr">
        <is>
          <t>STATEMENT OF CASH FLOWS (Derived)</t>
        </is>
      </c>
      <c r="D124" s="2" t="inlineStr">
        <is>
          <t>FY 2022</t>
        </is>
      </c>
      <c r="E124" s="2" t="inlineStr">
        <is>
          <t>FY 2023</t>
        </is>
      </c>
      <c r="F124" s="2" t="inlineStr">
        <is>
          <t>FY 2024</t>
        </is>
      </c>
    </row>
    <row r="125">
      <c r="B125" s="2" t="inlineStr">
        <is>
          <t>Operating Activities:</t>
        </is>
      </c>
    </row>
    <row r="126">
      <c r="B126" t="inlineStr">
        <is>
          <t>Net Income</t>
        </is>
      </c>
      <c r="D126" s="4">
        <f>D30</f>
        <v/>
      </c>
      <c r="E126" s="4">
        <f>E30</f>
        <v/>
      </c>
      <c r="F126" s="4">
        <f>F30</f>
        <v/>
      </c>
    </row>
    <row r="127">
      <c r="B127" t="inlineStr">
        <is>
          <t>+ Depreciation &amp; Amortization</t>
        </is>
      </c>
      <c r="D127" s="4">
        <f>D24</f>
        <v/>
      </c>
      <c r="E127" s="4">
        <f>E24</f>
        <v/>
      </c>
      <c r="F127" s="4">
        <f>F24</f>
        <v/>
      </c>
    </row>
    <row r="128">
      <c r="B128" t="inlineStr">
        <is>
          <t>+ Goodwill Impairment</t>
        </is>
      </c>
      <c r="D128" s="4">
        <f>D25</f>
        <v/>
      </c>
      <c r="E128" s="4">
        <f>E25</f>
        <v/>
      </c>
      <c r="F128" s="4">
        <f>F25</f>
        <v/>
      </c>
    </row>
    <row r="129">
      <c r="B129" t="inlineStr">
        <is>
          <t>change in + Accounts Receivable</t>
        </is>
      </c>
      <c r="D129" s="4">
        <f>-(D43-C43)</f>
        <v/>
      </c>
      <c r="E129" s="4">
        <f>-(E43-D43)</f>
        <v/>
      </c>
      <c r="F129" s="4">
        <f>-(F43-E43)</f>
        <v/>
      </c>
    </row>
    <row r="130">
      <c r="B130" t="inlineStr">
        <is>
          <t>change in + Subcontractor Receivables</t>
        </is>
      </c>
      <c r="D130" s="4">
        <f>-(D44-C44)</f>
        <v/>
      </c>
      <c r="E130" s="4">
        <f>-(E44-D44)</f>
        <v/>
      </c>
      <c r="F130" s="4">
        <f>-(F44-E44)</f>
        <v/>
      </c>
    </row>
    <row r="131">
      <c r="B131" t="inlineStr">
        <is>
          <t>change in + Prepaid &amp; Other</t>
        </is>
      </c>
      <c r="D131" s="4">
        <f>-(D45-C45)</f>
        <v/>
      </c>
      <c r="E131" s="4">
        <f>-(E45-D45)</f>
        <v/>
      </c>
      <c r="F131" s="4">
        <f>-(F45-E45)</f>
        <v/>
      </c>
    </row>
    <row r="132">
      <c r="B132" t="inlineStr">
        <is>
          <t>change in + Payables &amp; Accruals</t>
        </is>
      </c>
      <c r="D132" s="4">
        <f>D56-C56</f>
        <v/>
      </c>
      <c r="E132" s="4">
        <f>E56-D56</f>
        <v/>
      </c>
      <c r="F132" s="4">
        <f>F56-E56</f>
        <v/>
      </c>
    </row>
    <row r="133">
      <c r="B133" t="inlineStr">
        <is>
          <t>change in + Accrued Compensation</t>
        </is>
      </c>
      <c r="D133" s="4">
        <f>D57-C57</f>
        <v/>
      </c>
      <c r="E133" s="4">
        <f>E57-D57</f>
        <v/>
      </c>
      <c r="F133" s="4">
        <f>F57-E57</f>
        <v/>
      </c>
    </row>
    <row r="134">
      <c r="B134" t="inlineStr">
        <is>
          <t>change in + Other ST Liabilities</t>
        </is>
      </c>
      <c r="D134" s="4">
        <f>D58-C58</f>
        <v/>
      </c>
      <c r="E134" s="4">
        <f>E58-D58</f>
        <v/>
      </c>
      <c r="F134" s="4">
        <f>F58-E58</f>
        <v/>
      </c>
    </row>
    <row r="135">
      <c r="B135" s="3" t="inlineStr">
        <is>
          <t>Cash Flow From Operations</t>
        </is>
      </c>
      <c r="D135" s="4">
        <f>D126+D127+D128+D129+D130+D131+D132+D133+D134</f>
        <v/>
      </c>
      <c r="E135" s="4">
        <f>E126+E127+E128+E129+E130+E131+E132+E133+E134</f>
        <v/>
      </c>
      <c r="F135" s="4">
        <f>F126+F127+F128+F129+F130+F131+F132+F133+F134</f>
        <v/>
      </c>
    </row>
    <row r="136"/>
    <row r="137">
      <c r="B137" s="2" t="inlineStr">
        <is>
          <t>Investing Activities:</t>
        </is>
      </c>
    </row>
    <row r="138">
      <c r="B138" t="inlineStr">
        <is>
          <t>change in + Property, Plant &amp; Equip</t>
        </is>
      </c>
      <c r="D138" s="4">
        <f>-((D48-C48)+D24)</f>
        <v/>
      </c>
      <c r="E138" s="4">
        <f>-((E48-D48)+E24)</f>
        <v/>
      </c>
      <c r="F138" s="4">
        <f>-((F48-E48)+F24)</f>
        <v/>
      </c>
    </row>
    <row r="139">
      <c r="B139" t="inlineStr">
        <is>
          <t>change in + Other LT Assets</t>
        </is>
      </c>
      <c r="D139" s="4">
        <f>-((D47-C47)+(D49-C49)+(D50-C50))</f>
        <v/>
      </c>
      <c r="E139" s="4">
        <f>-((E47-D47)+(E49-D49)+(E50-D50))</f>
        <v/>
      </c>
      <c r="F139" s="4">
        <f>-((F47-E47)+(F49-E49)+(F50-E50))</f>
        <v/>
      </c>
    </row>
    <row r="140">
      <c r="B140" t="inlineStr">
        <is>
          <t>change in + Goodwill (Acquisitions)</t>
        </is>
      </c>
      <c r="D140" s="4">
        <f>-((D51-C51)+D25)</f>
        <v/>
      </c>
      <c r="E140" s="4">
        <f>-((E51-D51)+E25)</f>
        <v/>
      </c>
      <c r="F140" s="4">
        <f>-((F51-E51)+F25)</f>
        <v/>
      </c>
    </row>
    <row r="141">
      <c r="B141" t="inlineStr">
        <is>
          <t>change in + Intangibles</t>
        </is>
      </c>
      <c r="D141" s="4">
        <f>-(D52-C52)</f>
        <v/>
      </c>
      <c r="E141" s="4">
        <f>-(E52-D52)</f>
        <v/>
      </c>
      <c r="F141" s="4">
        <f>-(F52-E52)</f>
        <v/>
      </c>
    </row>
    <row r="142">
      <c r="B142" s="3" t="inlineStr">
        <is>
          <t>Cash Flow From Investing</t>
        </is>
      </c>
      <c r="D142" s="4">
        <f>D138+D139+D140+D141</f>
        <v/>
      </c>
      <c r="E142" s="4">
        <f>E138+E139+E140+E141</f>
        <v/>
      </c>
      <c r="F142" s="4">
        <f>F138+F139+F140+F141</f>
        <v/>
      </c>
    </row>
    <row r="143"/>
    <row r="144">
      <c r="B144" s="2" t="inlineStr">
        <is>
          <t>Financing Activities:</t>
        </is>
      </c>
    </row>
    <row r="145">
      <c r="B145" t="inlineStr">
        <is>
          <t>change in + LT Debt</t>
        </is>
      </c>
      <c r="D145" s="4">
        <f>(D60-C60)+(D61-C61)</f>
        <v/>
      </c>
      <c r="E145" s="4">
        <f>(E60-D60)+(E61-D61)</f>
        <v/>
      </c>
      <c r="F145" s="4">
        <f>(F60-E60)+(F61-E61)</f>
        <v/>
      </c>
    </row>
    <row r="146">
      <c r="B146" t="inlineStr">
        <is>
          <t>change in + Other LT Liabilities</t>
        </is>
      </c>
      <c r="D146" s="4">
        <f>(D62-C62)+(D63-C63)</f>
        <v/>
      </c>
      <c r="E146" s="4">
        <f>(E62-D62)+(E63-D63)</f>
        <v/>
      </c>
      <c r="F146" s="4">
        <f>(F62-E62)+(F63-E63)</f>
        <v/>
      </c>
    </row>
    <row r="147">
      <c r="B147" t="inlineStr">
        <is>
          <t>change in Total Equity (ex NI)</t>
        </is>
      </c>
      <c r="D147" s="4">
        <f>D120</f>
        <v/>
      </c>
      <c r="E147" s="4">
        <f>E120</f>
        <v/>
      </c>
      <c r="F147" s="4">
        <f>F120</f>
        <v/>
      </c>
    </row>
    <row r="148">
      <c r="B148" s="3" t="inlineStr">
        <is>
          <t>Cash Flow From Financing</t>
        </is>
      </c>
      <c r="D148" s="4">
        <f>D145+D146+D147</f>
        <v/>
      </c>
      <c r="E148" s="4">
        <f>E145+E146+E147</f>
        <v/>
      </c>
      <c r="F148" s="4">
        <f>F145+F146+F147</f>
        <v/>
      </c>
    </row>
    <row r="149"/>
    <row r="150">
      <c r="B150" s="3" t="inlineStr">
        <is>
          <t>Total Cash Flow</t>
        </is>
      </c>
      <c r="D150" s="4">
        <f>D135+D142+D148</f>
        <v/>
      </c>
      <c r="E150" s="4">
        <f>E135+E142+E148</f>
        <v/>
      </c>
      <c r="F150" s="4">
        <f>F135+F142+F148</f>
        <v/>
      </c>
    </row>
    <row r="151"/>
    <row r="152">
      <c r="B152" t="inlineStr">
        <is>
          <t>Actual Change in Cash (B/S)</t>
        </is>
      </c>
      <c r="D152" s="4">
        <f>D42-C42</f>
        <v/>
      </c>
      <c r="E152" s="4">
        <f>E42-D42</f>
        <v/>
      </c>
      <c r="F152" s="4">
        <f>F42-E42</f>
        <v/>
      </c>
    </row>
    <row r="153">
      <c r="B153" t="inlineStr">
        <is>
          <t>Difference (Check)</t>
        </is>
      </c>
      <c r="D153" s="4">
        <f>D150-D152</f>
        <v/>
      </c>
      <c r="E153" s="4">
        <f>E150-E152</f>
        <v/>
      </c>
      <c r="F153" s="4">
        <f>F150-F152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2026-01-31T01:43:38Z</dcterms:created>
  <dcterms:modified xsi:type="dcterms:W3CDTF">2026-01-31T15:03:54Z</dcterms:modified>
</cp:coreProperties>
</file>